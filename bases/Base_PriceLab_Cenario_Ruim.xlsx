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_Premissas_v4" sheetId="1" state="visible" r:id="rId1"/>
    <sheet name="4_Base_Regress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#,##0;\(#,##0\)"/>
    <numFmt numFmtId="167" formatCode="0.0%"/>
  </numFmts>
  <fonts count="12">
    <font>
      <name val="Calibri"/>
      <color theme="1"/>
      <sz val="11"/>
      <scheme val="minor"/>
    </font>
    <font>
      <name val="Arial"/>
      <b val="1"/>
      <color rgb="FFFFFFFF"/>
      <sz val="10"/>
    </font>
    <font/>
    <font>
      <name val="Arial"/>
      <color rgb="FF000000"/>
      <sz val="10"/>
    </font>
    <font>
      <name val="Arial"/>
      <b val="1"/>
      <color rgb="FFC00000"/>
      <sz val="10"/>
    </font>
    <font>
      <name val="Arial"/>
      <color rgb="FF0000FF"/>
      <sz val="10"/>
    </font>
    <font>
      <name val="Arial"/>
      <color theme="1"/>
      <sz val="10"/>
    </font>
    <font>
      <name val="Arial"/>
      <color theme="1"/>
      <sz val="11"/>
    </font>
    <font>
      <name val="Arial"/>
      <b val="1"/>
      <color theme="1"/>
      <sz val="10"/>
    </font>
    <font>
      <name val="Arial"/>
      <color rgb="FF2E75B6"/>
      <sz val="10"/>
    </font>
    <font>
      <name val="Arial"/>
      <color rgb="FF1D6A38"/>
      <sz val="10"/>
    </font>
    <font>
      <name val="Calibri"/>
      <color theme="1"/>
      <scheme val="minor"/>
    </font>
  </fonts>
  <fills count="11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D6A38"/>
        <bgColor rgb="FF1D6A3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164" fontId="3" fillId="4" borderId="4" applyAlignment="1" pivotButton="0" quotePrefix="0" xfId="0">
      <alignment horizontal="center" vertical="center" wrapText="1"/>
    </xf>
    <xf numFmtId="165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center" vertical="center" wrapText="1"/>
    </xf>
    <xf numFmtId="165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164" fontId="3" fillId="6" borderId="4" applyAlignment="1" pivotButton="0" quotePrefix="0" xfId="0">
      <alignment horizontal="center" vertical="center" wrapText="1"/>
    </xf>
    <xf numFmtId="165" fontId="4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164" fontId="1" fillId="7" borderId="4" applyAlignment="1" pivotButton="0" quotePrefix="0" xfId="0">
      <alignment horizontal="center" vertical="center" wrapText="1"/>
    </xf>
    <xf numFmtId="165" fontId="1" fillId="7" borderId="4" applyAlignment="1" pivotButton="0" quotePrefix="0" xfId="0">
      <alignment horizontal="center" vertical="center" wrapText="1"/>
    </xf>
    <xf numFmtId="164" fontId="5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164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3" fontId="6" fillId="5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164" fontId="5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3" fontId="6" fillId="6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wrapText="1"/>
    </xf>
    <xf numFmtId="0" fontId="7" fillId="5" borderId="8" applyAlignment="1" pivotButton="0" quotePrefix="0" xfId="0">
      <alignment horizontal="center" wrapText="1"/>
    </xf>
    <xf numFmtId="3" fontId="6" fillId="4" borderId="6" applyAlignment="1" pivotButton="0" quotePrefix="0" xfId="0">
      <alignment horizontal="center" vertical="center" wrapText="1"/>
    </xf>
    <xf numFmtId="165" fontId="8" fillId="6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vertical="center" wrapText="1"/>
    </xf>
    <xf numFmtId="0" fontId="1" fillId="2" borderId="4" applyAlignment="1" pivotButton="0" quotePrefix="0" xfId="0">
      <alignment horizontal="center" vertical="center" wrapText="1"/>
    </xf>
    <xf numFmtId="164" fontId="1" fillId="2" borderId="4" applyAlignment="1" pivotButton="0" quotePrefix="0" xfId="0">
      <alignment horizontal="center" vertical="center" wrapText="1"/>
    </xf>
    <xf numFmtId="165" fontId="1" fillId="2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left" vertical="center" wrapText="1"/>
    </xf>
    <xf numFmtId="0" fontId="5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6" fontId="6" fillId="4" borderId="4" applyAlignment="1" pivotButton="0" quotePrefix="0" xfId="0">
      <alignment horizontal="center" vertical="center" wrapText="1"/>
    </xf>
    <xf numFmtId="167" fontId="6" fillId="4" borderId="4" applyAlignment="1" pivotButton="0" quotePrefix="0" xfId="0">
      <alignment horizontal="center" vertical="center" wrapText="1"/>
    </xf>
    <xf numFmtId="167" fontId="11" fillId="0" borderId="0" pivotButton="0" quotePrefix="0" xfId="0"/>
    <xf numFmtId="0" fontId="6" fillId="5" borderId="4" applyAlignment="1" pivotButton="0" quotePrefix="0" xfId="0">
      <alignment horizontal="center" vertical="center" wrapText="1"/>
    </xf>
    <xf numFmtId="166" fontId="6" fillId="5" borderId="4" applyAlignment="1" pivotButton="0" quotePrefix="0" xfId="0">
      <alignment horizontal="center" vertical="center" wrapText="1"/>
    </xf>
    <xf numFmtId="167" fontId="6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166" fontId="6" fillId="6" borderId="4" applyAlignment="1" pivotButton="0" quotePrefix="0" xfId="0">
      <alignment horizontal="center" vertical="center" wrapText="1"/>
    </xf>
    <xf numFmtId="167" fontId="6" fillId="6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53" min="1" max="1"/>
    <col width="24" customWidth="1" style="53" min="2" max="2"/>
    <col width="8.710000000000001" customWidth="1" style="53" min="3" max="26"/>
  </cols>
  <sheetData>
    <row r="1" ht="15" customHeight="1" s="53">
      <c r="A1" s="33" t="inlineStr">
        <is>
          <t>PREMISSAS VIGENTES — v4</t>
        </is>
      </c>
      <c r="B1" s="54" t="n"/>
    </row>
    <row r="2">
      <c r="A2" s="4" t="inlineStr">
        <is>
          <t>Parâmetro</t>
        </is>
      </c>
      <c r="B2" s="4" t="inlineStr">
        <is>
          <t>Valor</t>
        </is>
      </c>
    </row>
    <row r="3">
      <c r="A3" s="36" t="inlineStr">
        <is>
          <t>Horas úteis/mês</t>
        </is>
      </c>
      <c r="B3" s="37" t="inlineStr">
        <is>
          <t>176</t>
        </is>
      </c>
    </row>
    <row r="4">
      <c r="A4" s="38" t="inlineStr">
        <is>
          <t>Salário Consultor PJ (Format.+Valid.)</t>
        </is>
      </c>
      <c r="B4" s="37" t="inlineStr">
        <is>
          <t>12500</t>
        </is>
      </c>
    </row>
    <row r="5">
      <c r="A5" s="36" t="inlineStr">
        <is>
          <t>% horas consultor → Formatação</t>
        </is>
      </c>
      <c r="B5" s="37" t="inlineStr">
        <is>
          <t>75%</t>
        </is>
      </c>
    </row>
    <row r="6">
      <c r="A6" s="38" t="inlineStr">
        <is>
          <t>% horas consultor → Validação</t>
        </is>
      </c>
      <c r="B6" s="37" t="inlineStr">
        <is>
          <t>25%</t>
        </is>
      </c>
    </row>
    <row r="7">
      <c r="A7" s="36" t="inlineStr">
        <is>
          <t>Custo/hora consultor</t>
        </is>
      </c>
      <c r="B7" s="37" t="inlineStr">
        <is>
          <t>R$ 71,02/h</t>
        </is>
      </c>
    </row>
    <row r="8">
      <c r="A8" s="38" t="inlineStr">
        <is>
          <t>Custo/hora advogado PJ</t>
        </is>
      </c>
      <c r="B8" s="37" t="inlineStr">
        <is>
          <t>R$ 220,00/h</t>
        </is>
      </c>
    </row>
    <row r="9">
      <c r="A9" s="36" t="inlineStr">
        <is>
          <t>Salário GP (fixo mensal, só Valid.)</t>
        </is>
      </c>
      <c r="B9" s="37" t="inlineStr">
        <is>
          <t>R$ 3.000</t>
        </is>
      </c>
    </row>
    <row r="10">
      <c r="A10" s="38" t="inlineStr">
        <is>
          <t>Contabilidade mensal (Format.+Valid.)</t>
        </is>
      </c>
      <c r="B10" s="37" t="inlineStr">
        <is>
          <t>R$ 2.774</t>
        </is>
      </c>
    </row>
    <row r="11">
      <c r="A11" s="36" t="inlineStr">
        <is>
          <t>Contabilidade → Formatação (75%)</t>
        </is>
      </c>
      <c r="B11" s="37" t="inlineStr">
        <is>
          <t>R$ 2.080/mês</t>
        </is>
      </c>
    </row>
    <row r="12">
      <c r="A12" s="38" t="inlineStr">
        <is>
          <t>Contabilidade → Validação (25%)</t>
        </is>
      </c>
      <c r="B12" s="37" t="inlineStr">
        <is>
          <t>R$ 694/mês</t>
        </is>
      </c>
    </row>
    <row r="14" ht="15" customHeight="1" s="53">
      <c r="A14" s="33" t="inlineStr">
        <is>
          <t>CAC FORMATAÇÃO POR TIER</t>
        </is>
      </c>
      <c r="B14" s="54" t="n"/>
    </row>
    <row r="15">
      <c r="A15" s="36" t="inlineStr">
        <is>
          <t>Tier R$34.500</t>
        </is>
      </c>
      <c r="B15" s="37" t="inlineStr">
        <is>
          <t>R$ 5.098/contrato</t>
        </is>
      </c>
    </row>
    <row r="16">
      <c r="A16" s="38" t="inlineStr">
        <is>
          <t>Tier R$69.000</t>
        </is>
      </c>
      <c r="B16" s="37" t="inlineStr">
        <is>
          <t>R$ 6.098/contrato</t>
        </is>
      </c>
    </row>
    <row r="17">
      <c r="A17" s="36" t="inlineStr">
        <is>
          <t>Tier R$103.500</t>
        </is>
      </c>
      <c r="B17" s="37" t="inlineStr">
        <is>
          <t>R$ 7.098/contrato</t>
        </is>
      </c>
    </row>
    <row r="19" ht="15" customHeight="1" s="53">
      <c r="A19" s="33" t="inlineStr">
        <is>
          <t>HORAS ADVOGADO POR TIER (Formatação)</t>
        </is>
      </c>
      <c r="B19" s="54" t="n"/>
    </row>
    <row r="20">
      <c r="A20" s="38" t="inlineStr">
        <is>
          <t>Tier R$34.500</t>
        </is>
      </c>
      <c r="B20" s="37" t="inlineStr">
        <is>
          <t>8 a 12h/contrato</t>
        </is>
      </c>
    </row>
    <row r="21" ht="15.75" customHeight="1" s="53">
      <c r="A21" s="36" t="inlineStr">
        <is>
          <t>Tier R$69.000</t>
        </is>
      </c>
      <c r="B21" s="37" t="inlineStr">
        <is>
          <t>15 a 20h/contrato</t>
        </is>
      </c>
    </row>
    <row r="22" ht="15.75" customHeight="1" s="53">
      <c r="A22" s="38" t="inlineStr">
        <is>
          <t>Tier R$103.500</t>
        </is>
      </c>
      <c r="B22" s="37" t="inlineStr">
        <is>
          <t>25 a 35h/contrato</t>
        </is>
      </c>
    </row>
    <row r="23" ht="15.75" customHeight="1" s="53"/>
    <row r="24" ht="15" customHeight="1" s="53">
      <c r="A24" s="33" t="inlineStr">
        <is>
          <t>VALIDAÇÃO — AJUSTES v4</t>
        </is>
      </c>
      <c r="B24" s="54" t="n"/>
    </row>
    <row r="25" ht="25.5" customHeight="1" s="53">
      <c r="A25" s="36" t="inlineStr">
        <is>
          <t>Custo SDR</t>
        </is>
      </c>
      <c r="B25" s="37" t="inlineStr">
        <is>
          <t>R$ 0 (sem SDR nessa fase)</t>
        </is>
      </c>
    </row>
    <row r="26" ht="25.5" customHeight="1" s="53">
      <c r="A26" s="38" t="inlineStr">
        <is>
          <t>Horas GP por contrato</t>
        </is>
      </c>
      <c r="B26" s="37" t="inlineStr">
        <is>
          <t>5h a 30h (driver de complexidade)</t>
        </is>
      </c>
    </row>
    <row r="27" ht="15.75" customHeight="1" s="53">
      <c r="A27" s="36" t="inlineStr">
        <is>
          <t>GP entra na regressão?</t>
        </is>
      </c>
      <c r="B27" s="37" t="inlineStr">
        <is>
          <t>Não — custo fixo rateado</t>
        </is>
      </c>
    </row>
    <row r="28" ht="15.75" customHeight="1" s="53">
      <c r="A28" s="38" t="inlineStr">
        <is>
          <t>Alíquota imposto</t>
        </is>
      </c>
      <c r="B28" s="37" t="inlineStr">
        <is>
          <t>6,0%</t>
        </is>
      </c>
    </row>
    <row r="29" ht="15.75" customHeight="1" s="53">
      <c r="A29" s="36" t="inlineStr">
        <is>
          <t>Comissão vendas</t>
        </is>
      </c>
      <c r="B29" s="37" t="inlineStr">
        <is>
          <t>5,0%</t>
        </is>
      </c>
    </row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4">
    <mergeCell ref="A14:B14"/>
    <mergeCell ref="A24:B24"/>
    <mergeCell ref="A1:B1"/>
    <mergeCell ref="A19:B19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53" min="1" max="11"/>
    <col width="8.710000000000001" customWidth="1" style="53" min="12" max="26"/>
  </cols>
  <sheetData>
    <row r="1">
      <c r="A1" s="4" t="inlineStr">
        <is>
          <t>Mês</t>
        </is>
      </c>
      <c r="B1" s="4" t="inlineStr">
        <is>
          <t>Franquia</t>
        </is>
      </c>
      <c r="C1" s="4" t="inlineStr">
        <is>
          <t>Tipo_Servico</t>
        </is>
      </c>
      <c r="D1" s="4" t="inlineStr">
        <is>
          <t>Receita_Total</t>
        </is>
      </c>
      <c r="E1" s="4" t="inlineStr">
        <is>
          <t>Qtd_Contratos</t>
        </is>
      </c>
      <c r="F1" s="4" t="inlineStr">
        <is>
          <t>H_Total</t>
        </is>
      </c>
      <c r="G1" s="4" t="inlineStr">
        <is>
          <t>H_Advogado</t>
        </is>
      </c>
      <c r="H1" s="4" t="inlineStr">
        <is>
          <t>Total_Custos</t>
        </is>
      </c>
      <c r="I1" s="4" t="inlineStr">
        <is>
          <t>Margem_RS</t>
        </is>
      </c>
      <c r="J1" s="4" t="inlineStr">
        <is>
          <t>Margem_PCT</t>
        </is>
      </c>
      <c r="K1" s="4" t="inlineStr">
        <is>
          <t>Num_Mes</t>
        </is>
      </c>
    </row>
    <row r="2">
      <c r="A2" s="43" t="inlineStr">
        <is>
          <t>2024-01</t>
        </is>
      </c>
      <c r="B2" s="43" t="inlineStr">
        <is>
          <t>Clínica da Cidade</t>
        </is>
      </c>
      <c r="C2" s="43" t="inlineStr">
        <is>
          <t>Expansão</t>
        </is>
      </c>
      <c r="D2" s="44" t="n">
        <v>20903.26</v>
      </c>
      <c r="E2" s="43" t="n">
        <v>4</v>
      </c>
      <c r="F2" s="43" t="n">
        <v>213</v>
      </c>
      <c r="G2" s="43" t="n">
        <v>0</v>
      </c>
      <c r="H2" s="44" t="n">
        <v>15264.98</v>
      </c>
      <c r="I2" s="44" t="n">
        <v>5638.28</v>
      </c>
      <c r="J2" s="45" t="n">
        <v>0.2697</v>
      </c>
      <c r="K2" s="43" t="n">
        <v>1</v>
      </c>
    </row>
    <row r="3">
      <c r="A3" s="43" t="inlineStr">
        <is>
          <t>2024-01</t>
        </is>
      </c>
      <c r="B3" s="43" t="inlineStr">
        <is>
          <t>Cogni Academy</t>
        </is>
      </c>
      <c r="C3" s="43" t="inlineStr">
        <is>
          <t>Expansão</t>
        </is>
      </c>
      <c r="D3" s="44" t="n">
        <v>11455.64</v>
      </c>
      <c r="E3" s="43" t="n">
        <v>4</v>
      </c>
      <c r="F3" s="43" t="n">
        <v>193</v>
      </c>
      <c r="G3" s="43" t="n">
        <v>0</v>
      </c>
      <c r="H3" s="44" t="n">
        <v>11809.49</v>
      </c>
      <c r="I3" s="44" t="n">
        <v>-353.85</v>
      </c>
      <c r="J3" s="45" t="n">
        <v>-0.0309</v>
      </c>
      <c r="K3" s="43" t="n">
        <v>1</v>
      </c>
    </row>
    <row r="4">
      <c r="A4" s="43" t="inlineStr">
        <is>
          <t>2024-01</t>
        </is>
      </c>
      <c r="B4" s="43" t="inlineStr">
        <is>
          <t>EduKids Brasil</t>
        </is>
      </c>
      <c r="C4" s="43" t="inlineStr">
        <is>
          <t>Expansão</t>
        </is>
      </c>
      <c r="D4" s="44" t="n">
        <v>16185.95</v>
      </c>
      <c r="E4" s="43" t="n">
        <v>4</v>
      </c>
      <c r="F4" s="43" t="n">
        <v>197</v>
      </c>
      <c r="G4" s="43" t="n">
        <v>0</v>
      </c>
      <c r="H4" s="44" t="n">
        <v>15004.86</v>
      </c>
      <c r="I4" s="44" t="n">
        <v>1181.09</v>
      </c>
      <c r="J4" s="45" t="n">
        <v>0.073</v>
      </c>
      <c r="K4" s="43" t="n">
        <v>1</v>
      </c>
      <c r="N4" s="46">
        <f>AVERAGE(J2:J49)</f>
        <v/>
      </c>
    </row>
    <row r="5">
      <c r="A5" s="43" t="inlineStr">
        <is>
          <t>2024-01</t>
        </is>
      </c>
      <c r="B5" s="43" t="inlineStr">
        <is>
          <t>Smart Nutri</t>
        </is>
      </c>
      <c r="C5" s="43" t="inlineStr">
        <is>
          <t>Expansão</t>
        </is>
      </c>
      <c r="D5" s="44" t="n">
        <v>19623.62</v>
      </c>
      <c r="E5" s="43" t="n">
        <v>4</v>
      </c>
      <c r="F5" s="43" t="n">
        <v>192</v>
      </c>
      <c r="G5" s="43" t="n">
        <v>0</v>
      </c>
      <c r="H5" s="44" t="n">
        <v>14822.84</v>
      </c>
      <c r="I5" s="44" t="n">
        <v>4800.78</v>
      </c>
      <c r="J5" s="45" t="n">
        <v>0.2446</v>
      </c>
      <c r="K5" s="43" t="n">
        <v>1</v>
      </c>
    </row>
    <row r="6">
      <c r="A6" s="43" t="inlineStr">
        <is>
          <t>2024-02</t>
        </is>
      </c>
      <c r="B6" s="43" t="inlineStr">
        <is>
          <t>Clínica da Cidade</t>
        </is>
      </c>
      <c r="C6" s="43" t="inlineStr">
        <is>
          <t>Expansão</t>
        </is>
      </c>
      <c r="D6" s="44" t="n">
        <v>9566.23</v>
      </c>
      <c r="E6" s="43" t="n">
        <v>4</v>
      </c>
      <c r="F6" s="43" t="n">
        <v>207</v>
      </c>
      <c r="G6" s="43" t="n">
        <v>0</v>
      </c>
      <c r="H6" s="44" t="n">
        <v>12214.63</v>
      </c>
      <c r="I6" s="44" t="n">
        <v>-2648.4</v>
      </c>
      <c r="J6" s="45" t="n">
        <v>-0.2768</v>
      </c>
      <c r="K6" s="43" t="n">
        <v>2</v>
      </c>
    </row>
    <row r="7">
      <c r="A7" s="43" t="inlineStr">
        <is>
          <t>2024-02</t>
        </is>
      </c>
      <c r="B7" s="43" t="inlineStr">
        <is>
          <t>Cogni Academy</t>
        </is>
      </c>
      <c r="C7" s="43" t="inlineStr">
        <is>
          <t>Expansão</t>
        </is>
      </c>
      <c r="D7" s="44" t="n">
        <v>16190.69</v>
      </c>
      <c r="E7" s="43" t="n">
        <v>4</v>
      </c>
      <c r="F7" s="43" t="n">
        <v>205</v>
      </c>
      <c r="G7" s="43" t="n">
        <v>0</v>
      </c>
      <c r="H7" s="44" t="n">
        <v>13407.12</v>
      </c>
      <c r="I7" s="44" t="n">
        <v>2783.57</v>
      </c>
      <c r="J7" s="45" t="n">
        <v>0.1719</v>
      </c>
      <c r="K7" s="43" t="n">
        <v>2</v>
      </c>
    </row>
    <row r="8">
      <c r="A8" s="43" t="inlineStr">
        <is>
          <t>2024-02</t>
        </is>
      </c>
      <c r="B8" s="43" t="inlineStr">
        <is>
          <t>EduKids Brasil</t>
        </is>
      </c>
      <c r="C8" s="43" t="inlineStr">
        <is>
          <t>Expansão</t>
        </is>
      </c>
      <c r="D8" s="44" t="n">
        <v>9062.52</v>
      </c>
      <c r="E8" s="43" t="n">
        <v>4</v>
      </c>
      <c r="F8" s="43" t="n">
        <v>210</v>
      </c>
      <c r="G8" s="43" t="n">
        <v>0</v>
      </c>
      <c r="H8" s="44" t="n">
        <v>10905.81</v>
      </c>
      <c r="I8" s="44" t="n">
        <v>-1843.29</v>
      </c>
      <c r="J8" s="45" t="n">
        <v>-0.2034</v>
      </c>
      <c r="K8" s="43" t="n">
        <v>2</v>
      </c>
    </row>
    <row r="9">
      <c r="A9" s="43" t="inlineStr">
        <is>
          <t>2024-02</t>
        </is>
      </c>
      <c r="B9" s="43" t="inlineStr">
        <is>
          <t>Smart Nutri</t>
        </is>
      </c>
      <c r="C9" s="43" t="inlineStr">
        <is>
          <t>Expansão</t>
        </is>
      </c>
      <c r="D9" s="44" t="n">
        <v>6196.32</v>
      </c>
      <c r="E9" s="43" t="n">
        <v>4</v>
      </c>
      <c r="F9" s="43" t="n">
        <v>213</v>
      </c>
      <c r="G9" s="43" t="n">
        <v>0</v>
      </c>
      <c r="H9" s="44" t="n">
        <v>11532.91</v>
      </c>
      <c r="I9" s="44" t="n">
        <v>-5336.59</v>
      </c>
      <c r="J9" s="45" t="n">
        <v>-0.8613</v>
      </c>
      <c r="K9" s="43" t="n">
        <v>2</v>
      </c>
    </row>
    <row r="10">
      <c r="A10" s="43" t="inlineStr">
        <is>
          <t>2024-03</t>
        </is>
      </c>
      <c r="B10" s="43" t="inlineStr">
        <is>
          <t>Clínica da Cidade</t>
        </is>
      </c>
      <c r="C10" s="43" t="inlineStr">
        <is>
          <t>Expansão</t>
        </is>
      </c>
      <c r="D10" s="44" t="n">
        <v>9750.58</v>
      </c>
      <c r="E10" s="43" t="n">
        <v>4</v>
      </c>
      <c r="F10" s="43" t="n">
        <v>187</v>
      </c>
      <c r="G10" s="43" t="n">
        <v>0</v>
      </c>
      <c r="H10" s="44" t="n">
        <v>11616.17</v>
      </c>
      <c r="I10" s="44" t="n">
        <v>-1865.59</v>
      </c>
      <c r="J10" s="45" t="n">
        <v>-0.1913</v>
      </c>
      <c r="K10" s="43" t="n">
        <v>3</v>
      </c>
    </row>
    <row r="11">
      <c r="A11" s="43" t="inlineStr">
        <is>
          <t>2024-03</t>
        </is>
      </c>
      <c r="B11" s="43" t="inlineStr">
        <is>
          <t>Cogni Academy</t>
        </is>
      </c>
      <c r="C11" s="43" t="inlineStr">
        <is>
          <t>Expansão</t>
        </is>
      </c>
      <c r="D11" s="44" t="n">
        <v>11754.7</v>
      </c>
      <c r="E11" s="43" t="n">
        <v>5</v>
      </c>
      <c r="F11" s="43" t="n">
        <v>221</v>
      </c>
      <c r="G11" s="43" t="n">
        <v>0</v>
      </c>
      <c r="H11" s="44" t="n">
        <v>12370.71</v>
      </c>
      <c r="I11" s="44" t="n">
        <v>-616.01</v>
      </c>
      <c r="J11" s="45" t="n">
        <v>-0.0524</v>
      </c>
      <c r="K11" s="43" t="n">
        <v>3</v>
      </c>
    </row>
    <row r="12">
      <c r="A12" s="43" t="inlineStr">
        <is>
          <t>2024-03</t>
        </is>
      </c>
      <c r="B12" s="43" t="inlineStr">
        <is>
          <t>EduKids Brasil</t>
        </is>
      </c>
      <c r="C12" s="43" t="inlineStr">
        <is>
          <t>Expansão</t>
        </is>
      </c>
      <c r="D12" s="44" t="n">
        <v>6017.18</v>
      </c>
      <c r="E12" s="43" t="n">
        <v>4</v>
      </c>
      <c r="F12" s="43" t="n">
        <v>211</v>
      </c>
      <c r="G12" s="43" t="n">
        <v>0</v>
      </c>
      <c r="H12" s="44" t="n">
        <v>11377.07</v>
      </c>
      <c r="I12" s="44" t="n">
        <v>-5359.89</v>
      </c>
      <c r="J12" s="45" t="n">
        <v>-0.8908</v>
      </c>
      <c r="K12" s="43" t="n">
        <v>3</v>
      </c>
    </row>
    <row r="13">
      <c r="A13" s="43" t="inlineStr">
        <is>
          <t>2024-03</t>
        </is>
      </c>
      <c r="B13" s="43" t="inlineStr">
        <is>
          <t>Smart Nutri</t>
        </is>
      </c>
      <c r="C13" s="43" t="inlineStr">
        <is>
          <t>Expansão</t>
        </is>
      </c>
      <c r="D13" s="44" t="n">
        <v>14092.2</v>
      </c>
      <c r="E13" s="43" t="n">
        <v>5</v>
      </c>
      <c r="F13" s="43" t="n">
        <v>229</v>
      </c>
      <c r="G13" s="43" t="n">
        <v>0</v>
      </c>
      <c r="H13" s="44" t="n">
        <v>12896.4</v>
      </c>
      <c r="I13" s="44" t="n">
        <v>1195.8</v>
      </c>
      <c r="J13" s="45" t="n">
        <v>0.0849</v>
      </c>
      <c r="K13" s="43" t="n">
        <v>3</v>
      </c>
    </row>
    <row r="14">
      <c r="A14" s="43" t="inlineStr">
        <is>
          <t>2024-04</t>
        </is>
      </c>
      <c r="B14" s="43" t="inlineStr">
        <is>
          <t>Clínica da Cidade</t>
        </is>
      </c>
      <c r="C14" s="43" t="inlineStr">
        <is>
          <t>Expansão</t>
        </is>
      </c>
      <c r="D14" s="44" t="n">
        <v>10630.66</v>
      </c>
      <c r="E14" s="43" t="n">
        <v>4</v>
      </c>
      <c r="F14" s="43" t="n">
        <v>202</v>
      </c>
      <c r="G14" s="43" t="n">
        <v>0</v>
      </c>
      <c r="H14" s="44" t="n">
        <v>11327.32</v>
      </c>
      <c r="I14" s="44" t="n">
        <v>-696.66</v>
      </c>
      <c r="J14" s="45" t="n">
        <v>-0.0655</v>
      </c>
      <c r="K14" s="43" t="n">
        <v>4</v>
      </c>
    </row>
    <row r="15">
      <c r="A15" s="43" t="inlineStr">
        <is>
          <t>2024-04</t>
        </is>
      </c>
      <c r="B15" s="43" t="inlineStr">
        <is>
          <t>Cogni Academy</t>
        </is>
      </c>
      <c r="C15" s="43" t="inlineStr">
        <is>
          <t>Expansão</t>
        </is>
      </c>
      <c r="D15" s="44" t="n">
        <v>11110.62</v>
      </c>
      <c r="E15" s="43" t="n">
        <v>4</v>
      </c>
      <c r="F15" s="43" t="n">
        <v>200</v>
      </c>
      <c r="G15" s="43" t="n">
        <v>0</v>
      </c>
      <c r="H15" s="44" t="n">
        <v>14241.15</v>
      </c>
      <c r="I15" s="44" t="n">
        <v>-3130.53</v>
      </c>
      <c r="J15" s="45" t="n">
        <v>-0.2818</v>
      </c>
      <c r="K15" s="43" t="n">
        <v>4</v>
      </c>
    </row>
    <row r="16">
      <c r="A16" s="43" t="inlineStr">
        <is>
          <t>2024-04</t>
        </is>
      </c>
      <c r="B16" s="43" t="inlineStr">
        <is>
          <t>EduKids Brasil</t>
        </is>
      </c>
      <c r="C16" s="43" t="inlineStr">
        <is>
          <t>Expansão</t>
        </is>
      </c>
      <c r="D16" s="44" t="n">
        <v>20911.79</v>
      </c>
      <c r="E16" s="43" t="n">
        <v>4</v>
      </c>
      <c r="F16" s="43" t="n">
        <v>215</v>
      </c>
      <c r="G16" s="43" t="n">
        <v>0</v>
      </c>
      <c r="H16" s="44" t="n">
        <v>16336.65</v>
      </c>
      <c r="I16" s="44" t="n">
        <v>4575.14</v>
      </c>
      <c r="J16" s="45" t="n">
        <v>0.2188</v>
      </c>
      <c r="K16" s="43" t="n">
        <v>4</v>
      </c>
    </row>
    <row r="17">
      <c r="A17" s="43" t="inlineStr">
        <is>
          <t>2024-04</t>
        </is>
      </c>
      <c r="B17" s="43" t="inlineStr">
        <is>
          <t>Smart Nutri</t>
        </is>
      </c>
      <c r="C17" s="43" t="inlineStr">
        <is>
          <t>Expansão</t>
        </is>
      </c>
      <c r="D17" s="44" t="n">
        <v>20638.54</v>
      </c>
      <c r="E17" s="43" t="n">
        <v>4</v>
      </c>
      <c r="F17" s="43" t="n">
        <v>192</v>
      </c>
      <c r="G17" s="43" t="n">
        <v>0</v>
      </c>
      <c r="H17" s="44" t="n">
        <v>14634.74</v>
      </c>
      <c r="I17" s="44" t="n">
        <v>6003.8</v>
      </c>
      <c r="J17" s="45" t="n">
        <v>0.2909</v>
      </c>
      <c r="K17" s="43" t="n">
        <v>4</v>
      </c>
    </row>
    <row r="18">
      <c r="A18" s="43" t="inlineStr">
        <is>
          <t>2024-05</t>
        </is>
      </c>
      <c r="B18" s="43" t="inlineStr">
        <is>
          <t>Clínica da Cidade</t>
        </is>
      </c>
      <c r="C18" s="43" t="inlineStr">
        <is>
          <t>Expansão</t>
        </is>
      </c>
      <c r="D18" s="44" t="n">
        <v>15709.68</v>
      </c>
      <c r="E18" s="43" t="n">
        <v>4</v>
      </c>
      <c r="F18" s="43" t="n">
        <v>205</v>
      </c>
      <c r="G18" s="43" t="n">
        <v>0</v>
      </c>
      <c r="H18" s="44" t="n">
        <v>13068.03</v>
      </c>
      <c r="I18" s="44" t="n">
        <v>2641.65</v>
      </c>
      <c r="J18" s="45" t="n">
        <v>0.1682</v>
      </c>
      <c r="K18" s="43" t="n">
        <v>5</v>
      </c>
    </row>
    <row r="19">
      <c r="A19" s="43" t="inlineStr">
        <is>
          <t>2024-05</t>
        </is>
      </c>
      <c r="B19" s="43" t="inlineStr">
        <is>
          <t>Cogni Academy</t>
        </is>
      </c>
      <c r="C19" s="43" t="inlineStr">
        <is>
          <t>Expansão</t>
        </is>
      </c>
      <c r="D19" s="44" t="n">
        <v>6312.43</v>
      </c>
      <c r="E19" s="43" t="n">
        <v>4</v>
      </c>
      <c r="F19" s="43" t="n">
        <v>202</v>
      </c>
      <c r="G19" s="43" t="n">
        <v>0</v>
      </c>
      <c r="H19" s="44" t="n">
        <v>10363.33</v>
      </c>
      <c r="I19" s="44" t="n">
        <v>-4050.9</v>
      </c>
      <c r="J19" s="45" t="n">
        <v>-0.6417</v>
      </c>
      <c r="K19" s="43" t="n">
        <v>5</v>
      </c>
    </row>
    <row r="20">
      <c r="A20" s="43" t="inlineStr">
        <is>
          <t>2024-05</t>
        </is>
      </c>
      <c r="B20" s="43" t="inlineStr">
        <is>
          <t>EduKids Brasil</t>
        </is>
      </c>
      <c r="C20" s="43" t="inlineStr">
        <is>
          <t>Expansão</t>
        </is>
      </c>
      <c r="D20" s="44" t="n">
        <v>20375.66</v>
      </c>
      <c r="E20" s="43" t="n">
        <v>4</v>
      </c>
      <c r="F20" s="43" t="n">
        <v>202</v>
      </c>
      <c r="G20" s="43" t="n">
        <v>0</v>
      </c>
      <c r="H20" s="44" t="n">
        <v>14078.29</v>
      </c>
      <c r="I20" s="44" t="n">
        <v>6297.37</v>
      </c>
      <c r="J20" s="45" t="n">
        <v>0.3091</v>
      </c>
      <c r="K20" s="43" t="n">
        <v>5</v>
      </c>
    </row>
    <row r="21" ht="15.75" customHeight="1" s="53">
      <c r="A21" s="43" t="inlineStr">
        <is>
          <t>2024-05</t>
        </is>
      </c>
      <c r="B21" s="43" t="inlineStr">
        <is>
          <t>Smart Nutri</t>
        </is>
      </c>
      <c r="C21" s="43" t="inlineStr">
        <is>
          <t>Expansão</t>
        </is>
      </c>
      <c r="D21" s="44" t="n">
        <v>17061.11</v>
      </c>
      <c r="E21" s="43" t="n">
        <v>4</v>
      </c>
      <c r="F21" s="43" t="n">
        <v>200</v>
      </c>
      <c r="G21" s="43" t="n">
        <v>0</v>
      </c>
      <c r="H21" s="44" t="n">
        <v>14701.39</v>
      </c>
      <c r="I21" s="44" t="n">
        <v>2359.72</v>
      </c>
      <c r="J21" s="45" t="n">
        <v>0.1383</v>
      </c>
      <c r="K21" s="43" t="n">
        <v>5</v>
      </c>
    </row>
    <row r="22" ht="15.75" customHeight="1" s="53">
      <c r="A22" s="43" t="inlineStr">
        <is>
          <t>2024-06</t>
        </is>
      </c>
      <c r="B22" s="43" t="inlineStr">
        <is>
          <t>Clínica da Cidade</t>
        </is>
      </c>
      <c r="C22" s="43" t="inlineStr">
        <is>
          <t>Expansão</t>
        </is>
      </c>
      <c r="D22" s="44" t="n">
        <v>10889.21</v>
      </c>
      <c r="E22" s="43" t="n">
        <v>4</v>
      </c>
      <c r="F22" s="43" t="n">
        <v>207</v>
      </c>
      <c r="G22" s="43" t="n">
        <v>0</v>
      </c>
      <c r="H22" s="44" t="n">
        <v>13917.23</v>
      </c>
      <c r="I22" s="44" t="n">
        <v>-3028.02</v>
      </c>
      <c r="J22" s="45" t="n">
        <v>-0.2781</v>
      </c>
      <c r="K22" s="43" t="n">
        <v>6</v>
      </c>
    </row>
    <row r="23" ht="15.75" customHeight="1" s="53">
      <c r="A23" s="43" t="inlineStr">
        <is>
          <t>2024-06</t>
        </is>
      </c>
      <c r="B23" s="43" t="inlineStr">
        <is>
          <t>Cogni Academy</t>
        </is>
      </c>
      <c r="C23" s="43" t="inlineStr">
        <is>
          <t>Expansão</t>
        </is>
      </c>
      <c r="D23" s="44" t="n">
        <v>6199.56</v>
      </c>
      <c r="E23" s="43" t="n">
        <v>4</v>
      </c>
      <c r="F23" s="43" t="n">
        <v>186</v>
      </c>
      <c r="G23" s="43" t="n">
        <v>0</v>
      </c>
      <c r="H23" s="44" t="n">
        <v>10874.92</v>
      </c>
      <c r="I23" s="44" t="n">
        <v>-4675.36</v>
      </c>
      <c r="J23" s="45" t="n">
        <v>-0.7541</v>
      </c>
      <c r="K23" s="43" t="n">
        <v>6</v>
      </c>
    </row>
    <row r="24" ht="15.75" customHeight="1" s="53">
      <c r="A24" s="43" t="inlineStr">
        <is>
          <t>2024-06</t>
        </is>
      </c>
      <c r="B24" s="43" t="inlineStr">
        <is>
          <t>EduKids Brasil</t>
        </is>
      </c>
      <c r="C24" s="43" t="inlineStr">
        <is>
          <t>Expansão</t>
        </is>
      </c>
      <c r="D24" s="44" t="n">
        <v>16746.76</v>
      </c>
      <c r="E24" s="43" t="n">
        <v>4</v>
      </c>
      <c r="F24" s="43" t="n">
        <v>206</v>
      </c>
      <c r="G24" s="43" t="n">
        <v>0</v>
      </c>
      <c r="H24" s="44" t="n">
        <v>14710.53</v>
      </c>
      <c r="I24" s="44" t="n">
        <v>2036.23</v>
      </c>
      <c r="J24" s="45" t="n">
        <v>0.1216</v>
      </c>
      <c r="K24" s="43" t="n">
        <v>6</v>
      </c>
    </row>
    <row r="25" ht="15.75" customHeight="1" s="53">
      <c r="A25" s="43" t="inlineStr">
        <is>
          <t>2024-06</t>
        </is>
      </c>
      <c r="B25" s="43" t="inlineStr">
        <is>
          <t>Smart Nutri</t>
        </is>
      </c>
      <c r="C25" s="43" t="inlineStr">
        <is>
          <t>Expansão</t>
        </is>
      </c>
      <c r="D25" s="44" t="n">
        <v>8910.74</v>
      </c>
      <c r="E25" s="43" t="n">
        <v>4</v>
      </c>
      <c r="F25" s="43" t="n">
        <v>196</v>
      </c>
      <c r="G25" s="43" t="n">
        <v>0</v>
      </c>
      <c r="H25" s="44" t="n">
        <v>12325.42</v>
      </c>
      <c r="I25" s="44" t="n">
        <v>-3414.68</v>
      </c>
      <c r="J25" s="45" t="n">
        <v>-0.3832</v>
      </c>
      <c r="K25" s="43" t="n">
        <v>6</v>
      </c>
    </row>
    <row r="26" ht="15.75" customHeight="1" s="53">
      <c r="A26" s="43" t="inlineStr">
        <is>
          <t>2024-07</t>
        </is>
      </c>
      <c r="B26" s="43" t="inlineStr">
        <is>
          <t>Clínica da Cidade</t>
        </is>
      </c>
      <c r="C26" s="43" t="inlineStr">
        <is>
          <t>Expansão</t>
        </is>
      </c>
      <c r="D26" s="44" t="n">
        <v>16528.84</v>
      </c>
      <c r="E26" s="43" t="n">
        <v>4</v>
      </c>
      <c r="F26" s="43" t="n">
        <v>202</v>
      </c>
      <c r="G26" s="43" t="n">
        <v>0</v>
      </c>
      <c r="H26" s="44" t="n">
        <v>13628.05</v>
      </c>
      <c r="I26" s="44" t="n">
        <v>2900.79</v>
      </c>
      <c r="J26" s="45" t="n">
        <v>0.1755</v>
      </c>
      <c r="K26" s="43" t="n">
        <v>7</v>
      </c>
    </row>
    <row r="27" ht="15.75" customHeight="1" s="53">
      <c r="A27" s="43" t="inlineStr">
        <is>
          <t>2024-07</t>
        </is>
      </c>
      <c r="B27" s="43" t="inlineStr">
        <is>
          <t>Cogni Academy</t>
        </is>
      </c>
      <c r="C27" s="43" t="inlineStr">
        <is>
          <t>Expansão</t>
        </is>
      </c>
      <c r="D27" s="44" t="n">
        <v>11451.7</v>
      </c>
      <c r="E27" s="43" t="n">
        <v>5</v>
      </c>
      <c r="F27" s="43" t="n">
        <v>214</v>
      </c>
      <c r="G27" s="43" t="n">
        <v>0</v>
      </c>
      <c r="H27" s="44" t="n">
        <v>13018.92</v>
      </c>
      <c r="I27" s="44" t="n">
        <v>-1567.22</v>
      </c>
      <c r="J27" s="45" t="n">
        <v>-0.1369</v>
      </c>
      <c r="K27" s="43" t="n">
        <v>7</v>
      </c>
    </row>
    <row r="28" ht="15.75" customHeight="1" s="53">
      <c r="A28" s="43" t="inlineStr">
        <is>
          <t>2024-07</t>
        </is>
      </c>
      <c r="B28" s="43" t="inlineStr">
        <is>
          <t>EduKids Brasil</t>
        </is>
      </c>
      <c r="C28" s="43" t="inlineStr">
        <is>
          <t>Expansão</t>
        </is>
      </c>
      <c r="D28" s="44" t="n">
        <v>8880.780000000001</v>
      </c>
      <c r="E28" s="43" t="n">
        <v>4</v>
      </c>
      <c r="F28" s="43" t="n">
        <v>195</v>
      </c>
      <c r="G28" s="43" t="n">
        <v>0</v>
      </c>
      <c r="H28" s="44" t="n">
        <v>12712.47</v>
      </c>
      <c r="I28" s="44" t="n">
        <v>-3831.69</v>
      </c>
      <c r="J28" s="45" t="n">
        <v>-0.4315</v>
      </c>
      <c r="K28" s="43" t="n">
        <v>7</v>
      </c>
    </row>
    <row r="29" ht="15.75" customHeight="1" s="53">
      <c r="A29" s="43" t="inlineStr">
        <is>
          <t>2024-07</t>
        </is>
      </c>
      <c r="B29" s="43" t="inlineStr">
        <is>
          <t>Smart Nutri</t>
        </is>
      </c>
      <c r="C29" s="43" t="inlineStr">
        <is>
          <t>Expansão</t>
        </is>
      </c>
      <c r="D29" s="44" t="n">
        <v>20279.66</v>
      </c>
      <c r="E29" s="43" t="n">
        <v>4</v>
      </c>
      <c r="F29" s="43" t="n">
        <v>192</v>
      </c>
      <c r="G29" s="43" t="n">
        <v>0</v>
      </c>
      <c r="H29" s="44" t="n">
        <v>16267.6</v>
      </c>
      <c r="I29" s="44" t="n">
        <v>4012.06</v>
      </c>
      <c r="J29" s="45" t="n">
        <v>0.1978</v>
      </c>
      <c r="K29" s="43" t="n">
        <v>7</v>
      </c>
    </row>
    <row r="30" ht="15.75" customHeight="1" s="53">
      <c r="A30" s="43" t="inlineStr">
        <is>
          <t>2024-08</t>
        </is>
      </c>
      <c r="B30" s="43" t="inlineStr">
        <is>
          <t>Clínica da Cidade</t>
        </is>
      </c>
      <c r="C30" s="43" t="inlineStr">
        <is>
          <t>Expansão</t>
        </is>
      </c>
      <c r="D30" s="44" t="n">
        <v>17038.46</v>
      </c>
      <c r="E30" s="43" t="n">
        <v>4</v>
      </c>
      <c r="F30" s="43" t="n">
        <v>193</v>
      </c>
      <c r="G30" s="43" t="n">
        <v>0</v>
      </c>
      <c r="H30" s="44" t="n">
        <v>15062.34</v>
      </c>
      <c r="I30" s="44" t="n">
        <v>1976.12</v>
      </c>
      <c r="J30" s="45" t="n">
        <v>0.116</v>
      </c>
      <c r="K30" s="43" t="n">
        <v>8</v>
      </c>
    </row>
    <row r="31" ht="15.75" customHeight="1" s="53">
      <c r="A31" s="43" t="inlineStr">
        <is>
          <t>2024-08</t>
        </is>
      </c>
      <c r="B31" s="43" t="inlineStr">
        <is>
          <t>Cogni Academy</t>
        </is>
      </c>
      <c r="C31" s="43" t="inlineStr">
        <is>
          <t>Expansão</t>
        </is>
      </c>
      <c r="D31" s="44" t="n">
        <v>21633.37</v>
      </c>
      <c r="E31" s="43" t="n">
        <v>5</v>
      </c>
      <c r="F31" s="43" t="n">
        <v>208</v>
      </c>
      <c r="G31" s="43" t="n">
        <v>0</v>
      </c>
      <c r="H31" s="44" t="n">
        <v>15550.27</v>
      </c>
      <c r="I31" s="44" t="n">
        <v>6083.1</v>
      </c>
      <c r="J31" s="45" t="n">
        <v>0.2812</v>
      </c>
      <c r="K31" s="43" t="n">
        <v>8</v>
      </c>
    </row>
    <row r="32" ht="15.75" customHeight="1" s="53">
      <c r="A32" s="43" t="inlineStr">
        <is>
          <t>2024-08</t>
        </is>
      </c>
      <c r="B32" s="43" t="inlineStr">
        <is>
          <t>EduKids Brasil</t>
        </is>
      </c>
      <c r="C32" s="43" t="inlineStr">
        <is>
          <t>Expansão</t>
        </is>
      </c>
      <c r="D32" s="44" t="n">
        <v>14081.77</v>
      </c>
      <c r="E32" s="43" t="n">
        <v>5</v>
      </c>
      <c r="F32" s="43" t="n">
        <v>199</v>
      </c>
      <c r="G32" s="43" t="n">
        <v>0</v>
      </c>
      <c r="H32" s="44" t="n">
        <v>13897.57</v>
      </c>
      <c r="I32" s="44" t="n">
        <v>184.2</v>
      </c>
      <c r="J32" s="45" t="n">
        <v>0.0131</v>
      </c>
      <c r="K32" s="43" t="n">
        <v>8</v>
      </c>
    </row>
    <row r="33" ht="15.75" customHeight="1" s="53">
      <c r="A33" s="43" t="inlineStr">
        <is>
          <t>2024-08</t>
        </is>
      </c>
      <c r="B33" s="43" t="inlineStr">
        <is>
          <t>Smart Nutri</t>
        </is>
      </c>
      <c r="C33" s="43" t="inlineStr">
        <is>
          <t>Expansão</t>
        </is>
      </c>
      <c r="D33" s="44" t="n">
        <v>16807.42</v>
      </c>
      <c r="E33" s="43" t="n">
        <v>4</v>
      </c>
      <c r="F33" s="43" t="n">
        <v>185</v>
      </c>
      <c r="G33" s="43" t="n">
        <v>0</v>
      </c>
      <c r="H33" s="44" t="n">
        <v>13026.87</v>
      </c>
      <c r="I33" s="44" t="n">
        <v>3780.55</v>
      </c>
      <c r="J33" s="45" t="n">
        <v>0.2249</v>
      </c>
      <c r="K33" s="43" t="n">
        <v>8</v>
      </c>
    </row>
    <row r="34" ht="15.75" customHeight="1" s="53">
      <c r="A34" s="43" t="inlineStr">
        <is>
          <t>2024-09</t>
        </is>
      </c>
      <c r="B34" s="43" t="inlineStr">
        <is>
          <t>Clínica da Cidade</t>
        </is>
      </c>
      <c r="C34" s="43" t="inlineStr">
        <is>
          <t>Expansão</t>
        </is>
      </c>
      <c r="D34" s="44" t="n">
        <v>6156.53</v>
      </c>
      <c r="E34" s="43" t="n">
        <v>4</v>
      </c>
      <c r="F34" s="43" t="n">
        <v>206</v>
      </c>
      <c r="G34" s="43" t="n">
        <v>0</v>
      </c>
      <c r="H34" s="44" t="n">
        <v>11231.79</v>
      </c>
      <c r="I34" s="44" t="n">
        <v>-5075.26</v>
      </c>
      <c r="J34" s="45" t="n">
        <v>-0.8244</v>
      </c>
      <c r="K34" s="43" t="n">
        <v>9</v>
      </c>
    </row>
    <row r="35" ht="15.75" customHeight="1" s="53">
      <c r="A35" s="43" t="inlineStr">
        <is>
          <t>2024-09</t>
        </is>
      </c>
      <c r="B35" s="43" t="inlineStr">
        <is>
          <t>Cogni Academy</t>
        </is>
      </c>
      <c r="C35" s="43" t="inlineStr">
        <is>
          <t>Expansão</t>
        </is>
      </c>
      <c r="D35" s="44" t="n">
        <v>9199.67</v>
      </c>
      <c r="E35" s="43" t="n">
        <v>4</v>
      </c>
      <c r="F35" s="43" t="n">
        <v>194</v>
      </c>
      <c r="G35" s="43" t="n">
        <v>0</v>
      </c>
      <c r="H35" s="44" t="n">
        <v>11662.52</v>
      </c>
      <c r="I35" s="44" t="n">
        <v>-2462.85</v>
      </c>
      <c r="J35" s="45" t="n">
        <v>-0.2677</v>
      </c>
      <c r="K35" s="43" t="n">
        <v>9</v>
      </c>
    </row>
    <row r="36" ht="15.75" customHeight="1" s="53">
      <c r="A36" s="43" t="inlineStr">
        <is>
          <t>2024-09</t>
        </is>
      </c>
      <c r="B36" s="43" t="inlineStr">
        <is>
          <t>EduKids Brasil</t>
        </is>
      </c>
      <c r="C36" s="43" t="inlineStr">
        <is>
          <t>Expansão</t>
        </is>
      </c>
      <c r="D36" s="44" t="n">
        <v>14587.31</v>
      </c>
      <c r="E36" s="43" t="n">
        <v>5</v>
      </c>
      <c r="F36" s="43" t="n">
        <v>221</v>
      </c>
      <c r="G36" s="43" t="n">
        <v>0</v>
      </c>
      <c r="H36" s="44" t="n">
        <v>13043.83</v>
      </c>
      <c r="I36" s="44" t="n">
        <v>1543.48</v>
      </c>
      <c r="J36" s="45" t="n">
        <v>0.1058</v>
      </c>
      <c r="K36" s="43" t="n">
        <v>9</v>
      </c>
    </row>
    <row r="37" ht="15.75" customHeight="1" s="53">
      <c r="A37" s="43" t="inlineStr">
        <is>
          <t>2024-09</t>
        </is>
      </c>
      <c r="B37" s="43" t="inlineStr">
        <is>
          <t>Smart Nutri</t>
        </is>
      </c>
      <c r="C37" s="43" t="inlineStr">
        <is>
          <t>Expansão</t>
        </is>
      </c>
      <c r="D37" s="44" t="n">
        <v>11339.79</v>
      </c>
      <c r="E37" s="43" t="n">
        <v>4</v>
      </c>
      <c r="F37" s="43" t="n">
        <v>209</v>
      </c>
      <c r="G37" s="43" t="n">
        <v>0</v>
      </c>
      <c r="H37" s="44" t="n">
        <v>12845.91</v>
      </c>
      <c r="I37" s="44" t="n">
        <v>-1506.12</v>
      </c>
      <c r="J37" s="45" t="n">
        <v>-0.1328</v>
      </c>
      <c r="K37" s="43" t="n">
        <v>9</v>
      </c>
    </row>
    <row r="38" ht="15.75" customHeight="1" s="53">
      <c r="A38" s="43" t="inlineStr">
        <is>
          <t>2024-10</t>
        </is>
      </c>
      <c r="B38" s="43" t="inlineStr">
        <is>
          <t>Clínica da Cidade</t>
        </is>
      </c>
      <c r="C38" s="43" t="inlineStr">
        <is>
          <t>Expansão</t>
        </is>
      </c>
      <c r="D38" s="44" t="n">
        <v>26771.6</v>
      </c>
      <c r="E38" s="43" t="n">
        <v>5</v>
      </c>
      <c r="F38" s="43" t="n">
        <v>217</v>
      </c>
      <c r="G38" s="43" t="n">
        <v>0</v>
      </c>
      <c r="H38" s="44" t="n">
        <v>16813.27</v>
      </c>
      <c r="I38" s="44" t="n">
        <v>9958.33</v>
      </c>
      <c r="J38" s="45" t="n">
        <v>0.372</v>
      </c>
      <c r="K38" s="43" t="n">
        <v>10</v>
      </c>
    </row>
    <row r="39" ht="15.75" customHeight="1" s="53">
      <c r="A39" s="43" t="inlineStr">
        <is>
          <t>2024-10</t>
        </is>
      </c>
      <c r="B39" s="43" t="inlineStr">
        <is>
          <t>Cogni Academy</t>
        </is>
      </c>
      <c r="C39" s="43" t="inlineStr">
        <is>
          <t>Expansão</t>
        </is>
      </c>
      <c r="D39" s="44" t="n">
        <v>19884.47</v>
      </c>
      <c r="E39" s="43" t="n">
        <v>5</v>
      </c>
      <c r="F39" s="43" t="n">
        <v>191</v>
      </c>
      <c r="G39" s="43" t="n">
        <v>0</v>
      </c>
      <c r="H39" s="44" t="n">
        <v>14455.11</v>
      </c>
      <c r="I39" s="44" t="n">
        <v>5429.36</v>
      </c>
      <c r="J39" s="45" t="n">
        <v>0.273</v>
      </c>
      <c r="K39" s="43" t="n">
        <v>10</v>
      </c>
    </row>
    <row r="40" ht="15.75" customHeight="1" s="53">
      <c r="A40" s="43" t="inlineStr">
        <is>
          <t>2024-10</t>
        </is>
      </c>
      <c r="B40" s="43" t="inlineStr">
        <is>
          <t>EduKids Brasil</t>
        </is>
      </c>
      <c r="C40" s="43" t="inlineStr">
        <is>
          <t>Expansão</t>
        </is>
      </c>
      <c r="D40" s="44" t="n">
        <v>17250.87</v>
      </c>
      <c r="E40" s="43" t="n">
        <v>4</v>
      </c>
      <c r="F40" s="43" t="n">
        <v>205</v>
      </c>
      <c r="G40" s="43" t="n">
        <v>0</v>
      </c>
      <c r="H40" s="44" t="n">
        <v>15143.79</v>
      </c>
      <c r="I40" s="44" t="n">
        <v>2107.08</v>
      </c>
      <c r="J40" s="45" t="n">
        <v>0.1221</v>
      </c>
      <c r="K40" s="43" t="n">
        <v>10</v>
      </c>
    </row>
    <row r="41" ht="15.75" customHeight="1" s="53">
      <c r="A41" s="43" t="inlineStr">
        <is>
          <t>2024-10</t>
        </is>
      </c>
      <c r="B41" s="43" t="inlineStr">
        <is>
          <t>Smart Nutri</t>
        </is>
      </c>
      <c r="C41" s="43" t="inlineStr">
        <is>
          <t>Expansão</t>
        </is>
      </c>
      <c r="D41" s="44" t="n">
        <v>20788.93</v>
      </c>
      <c r="E41" s="43" t="n">
        <v>4</v>
      </c>
      <c r="F41" s="43" t="n">
        <v>195</v>
      </c>
      <c r="G41" s="43" t="n">
        <v>0</v>
      </c>
      <c r="H41" s="44" t="n">
        <v>15010.39</v>
      </c>
      <c r="I41" s="44" t="n">
        <v>5778.54</v>
      </c>
      <c r="J41" s="45" t="n">
        <v>0.278</v>
      </c>
      <c r="K41" s="43" t="n">
        <v>10</v>
      </c>
    </row>
    <row r="42" ht="15.75" customHeight="1" s="53">
      <c r="A42" s="43" t="inlineStr">
        <is>
          <t>2024-11</t>
        </is>
      </c>
      <c r="B42" s="43" t="inlineStr">
        <is>
          <t>Clínica da Cidade</t>
        </is>
      </c>
      <c r="C42" s="43" t="inlineStr">
        <is>
          <t>Expansão</t>
        </is>
      </c>
      <c r="D42" s="44" t="n">
        <v>20010.09</v>
      </c>
      <c r="E42" s="43" t="n">
        <v>5</v>
      </c>
      <c r="F42" s="43" t="n">
        <v>213</v>
      </c>
      <c r="G42" s="43" t="n">
        <v>0</v>
      </c>
      <c r="H42" s="44" t="n">
        <v>15500.23</v>
      </c>
      <c r="I42" s="44" t="n">
        <v>4509.86</v>
      </c>
      <c r="J42" s="45" t="n">
        <v>0.2254</v>
      </c>
      <c r="K42" s="43" t="n">
        <v>11</v>
      </c>
    </row>
    <row r="43" ht="15.75" customHeight="1" s="53">
      <c r="A43" s="43" t="inlineStr">
        <is>
          <t>2024-11</t>
        </is>
      </c>
      <c r="B43" s="43" t="inlineStr">
        <is>
          <t>Cogni Academy</t>
        </is>
      </c>
      <c r="C43" s="43" t="inlineStr">
        <is>
          <t>Expansão</t>
        </is>
      </c>
      <c r="D43" s="44" t="n">
        <v>16602.42</v>
      </c>
      <c r="E43" s="43" t="n">
        <v>4</v>
      </c>
      <c r="F43" s="43" t="n">
        <v>189</v>
      </c>
      <c r="G43" s="43" t="n">
        <v>0</v>
      </c>
      <c r="H43" s="44" t="n">
        <v>13316.35</v>
      </c>
      <c r="I43" s="44" t="n">
        <v>3286.07</v>
      </c>
      <c r="J43" s="45" t="n">
        <v>0.1979</v>
      </c>
      <c r="K43" s="43" t="n">
        <v>11</v>
      </c>
    </row>
    <row r="44" ht="15.75" customHeight="1" s="53">
      <c r="A44" s="43" t="inlineStr">
        <is>
          <t>2024-11</t>
        </is>
      </c>
      <c r="B44" s="43" t="inlineStr">
        <is>
          <t>EduKids Brasil</t>
        </is>
      </c>
      <c r="C44" s="43" t="inlineStr">
        <is>
          <t>Expansão</t>
        </is>
      </c>
      <c r="D44" s="44" t="n">
        <v>12058.81</v>
      </c>
      <c r="E44" s="43" t="n">
        <v>5</v>
      </c>
      <c r="F44" s="43" t="n">
        <v>231</v>
      </c>
      <c r="G44" s="43" t="n">
        <v>0</v>
      </c>
      <c r="H44" s="44" t="n">
        <v>13276.18</v>
      </c>
      <c r="I44" s="44" t="n">
        <v>-1217.37</v>
      </c>
      <c r="J44" s="45" t="n">
        <v>-0.101</v>
      </c>
      <c r="K44" s="43" t="n">
        <v>11</v>
      </c>
    </row>
    <row r="45" ht="15.75" customHeight="1" s="53">
      <c r="A45" s="43" t="inlineStr">
        <is>
          <t>2024-11</t>
        </is>
      </c>
      <c r="B45" s="43" t="inlineStr">
        <is>
          <t>Smart Nutri</t>
        </is>
      </c>
      <c r="C45" s="43" t="inlineStr">
        <is>
          <t>Expansão</t>
        </is>
      </c>
      <c r="D45" s="44" t="n">
        <v>11226</v>
      </c>
      <c r="E45" s="43" t="n">
        <v>4</v>
      </c>
      <c r="F45" s="43" t="n">
        <v>212</v>
      </c>
      <c r="G45" s="43" t="n">
        <v>0</v>
      </c>
      <c r="H45" s="44" t="n">
        <v>12435.61</v>
      </c>
      <c r="I45" s="44" t="n">
        <v>-1209.61</v>
      </c>
      <c r="J45" s="45" t="n">
        <v>-0.1078</v>
      </c>
      <c r="K45" s="43" t="n">
        <v>11</v>
      </c>
    </row>
    <row r="46" ht="15.75" customHeight="1" s="53">
      <c r="A46" s="43" t="inlineStr">
        <is>
          <t>2024-12</t>
        </is>
      </c>
      <c r="B46" s="43" t="inlineStr">
        <is>
          <t>Clínica da Cidade</t>
        </is>
      </c>
      <c r="C46" s="43" t="inlineStr">
        <is>
          <t>Expansão</t>
        </is>
      </c>
      <c r="D46" s="44" t="n">
        <v>13811.29</v>
      </c>
      <c r="E46" s="43" t="n">
        <v>5</v>
      </c>
      <c r="F46" s="43" t="n">
        <v>222</v>
      </c>
      <c r="G46" s="43" t="n">
        <v>0</v>
      </c>
      <c r="H46" s="44" t="n">
        <v>13875.29</v>
      </c>
      <c r="I46" s="44" t="n">
        <v>-64</v>
      </c>
      <c r="J46" s="45" t="n">
        <v>-0.0046</v>
      </c>
      <c r="K46" s="43" t="n">
        <v>12</v>
      </c>
    </row>
    <row r="47" ht="15.75" customHeight="1" s="53">
      <c r="A47" s="43" t="inlineStr">
        <is>
          <t>2024-12</t>
        </is>
      </c>
      <c r="B47" s="43" t="inlineStr">
        <is>
          <t>Cogni Academy</t>
        </is>
      </c>
      <c r="C47" s="43" t="inlineStr">
        <is>
          <t>Expansão</t>
        </is>
      </c>
      <c r="D47" s="44" t="n">
        <v>11076.37</v>
      </c>
      <c r="E47" s="43" t="n">
        <v>5</v>
      </c>
      <c r="F47" s="43" t="n">
        <v>227</v>
      </c>
      <c r="G47" s="43" t="n">
        <v>0</v>
      </c>
      <c r="H47" s="44" t="n">
        <v>15059.02</v>
      </c>
      <c r="I47" s="44" t="n">
        <v>-3982.65</v>
      </c>
      <c r="J47" s="45" t="n">
        <v>-0.3596</v>
      </c>
      <c r="K47" s="43" t="n">
        <v>12</v>
      </c>
    </row>
    <row r="48" ht="15.75" customHeight="1" s="53">
      <c r="A48" s="43" t="inlineStr">
        <is>
          <t>2024-12</t>
        </is>
      </c>
      <c r="B48" s="43" t="inlineStr">
        <is>
          <t>EduKids Brasil</t>
        </is>
      </c>
      <c r="C48" s="43" t="inlineStr">
        <is>
          <t>Expansão</t>
        </is>
      </c>
      <c r="D48" s="44" t="n">
        <v>9260.27</v>
      </c>
      <c r="E48" s="43" t="n">
        <v>4</v>
      </c>
      <c r="F48" s="43" t="n">
        <v>204</v>
      </c>
      <c r="G48" s="43" t="n">
        <v>0</v>
      </c>
      <c r="H48" s="44" t="n">
        <v>12149.38</v>
      </c>
      <c r="I48" s="44" t="n">
        <v>-2889.11</v>
      </c>
      <c r="J48" s="45" t="n">
        <v>-0.312</v>
      </c>
      <c r="K48" s="43" t="n">
        <v>12</v>
      </c>
    </row>
    <row r="49" ht="15.75" customHeight="1" s="53">
      <c r="A49" s="43" t="inlineStr">
        <is>
          <t>2024-12</t>
        </is>
      </c>
      <c r="B49" s="43" t="inlineStr">
        <is>
          <t>Smart Nutri</t>
        </is>
      </c>
      <c r="C49" s="43" t="inlineStr">
        <is>
          <t>Expansão</t>
        </is>
      </c>
      <c r="D49" s="44" t="n">
        <v>20277.85</v>
      </c>
      <c r="E49" s="43" t="n">
        <v>5</v>
      </c>
      <c r="F49" s="43" t="n">
        <v>223</v>
      </c>
      <c r="G49" s="43" t="n">
        <v>0</v>
      </c>
      <c r="H49" s="44" t="n">
        <v>16348.99</v>
      </c>
      <c r="I49" s="44" t="n">
        <v>3928.86</v>
      </c>
      <c r="J49" s="45" t="n">
        <v>0.1938</v>
      </c>
      <c r="K49" s="43" t="n">
        <v>12</v>
      </c>
    </row>
    <row r="50" ht="15.75" customHeight="1" s="53">
      <c r="A50" s="47" t="inlineStr">
        <is>
          <t>2024-01</t>
        </is>
      </c>
      <c r="B50" s="47" t="inlineStr">
        <is>
          <t>Clínica da Cidade</t>
        </is>
      </c>
      <c r="C50" s="47" t="inlineStr">
        <is>
          <t>Formatação</t>
        </is>
      </c>
      <c r="D50" s="48" t="n">
        <v>52999.65</v>
      </c>
      <c r="E50" s="47" t="n">
        <v>1</v>
      </c>
      <c r="F50" s="47" t="n">
        <v>113</v>
      </c>
      <c r="G50" s="47" t="n">
        <v>31</v>
      </c>
      <c r="H50" s="48" t="n">
        <v>46915.92</v>
      </c>
      <c r="I50" s="48" t="n">
        <v>6083.73</v>
      </c>
      <c r="J50" s="49" t="n">
        <v>0.1148</v>
      </c>
      <c r="K50" s="47" t="n">
        <v>1</v>
      </c>
    </row>
    <row r="51" ht="15.75" customHeight="1" s="53">
      <c r="A51" s="47" t="inlineStr">
        <is>
          <t>2024-01</t>
        </is>
      </c>
      <c r="B51" s="47" t="inlineStr">
        <is>
          <t>Cogni Academy</t>
        </is>
      </c>
      <c r="C51" s="47" t="inlineStr">
        <is>
          <t>Formatação</t>
        </is>
      </c>
      <c r="D51" s="48" t="n">
        <v>35352.22</v>
      </c>
      <c r="E51" s="47" t="n">
        <v>1</v>
      </c>
      <c r="F51" s="47" t="n">
        <v>118</v>
      </c>
      <c r="G51" s="47" t="n">
        <v>17</v>
      </c>
      <c r="H51" s="48" t="n">
        <v>37397.88</v>
      </c>
      <c r="I51" s="48" t="n">
        <v>-2045.66</v>
      </c>
      <c r="J51" s="49" t="n">
        <v>-0.0579</v>
      </c>
      <c r="K51" s="47" t="n">
        <v>1</v>
      </c>
    </row>
    <row r="52" ht="15.75" customHeight="1" s="53">
      <c r="A52" s="47" t="inlineStr">
        <is>
          <t>2024-01</t>
        </is>
      </c>
      <c r="B52" s="47" t="inlineStr">
        <is>
          <t>EduKids Brasil</t>
        </is>
      </c>
      <c r="C52" s="47" t="inlineStr">
        <is>
          <t>Formatação</t>
        </is>
      </c>
      <c r="D52" s="48" t="n">
        <v>38827.21</v>
      </c>
      <c r="E52" s="47" t="n">
        <v>1</v>
      </c>
      <c r="F52" s="47" t="n">
        <v>100</v>
      </c>
      <c r="G52" s="47" t="n">
        <v>17</v>
      </c>
      <c r="H52" s="48" t="n">
        <v>37392.97</v>
      </c>
      <c r="I52" s="48" t="n">
        <v>1434.24</v>
      </c>
      <c r="J52" s="49" t="n">
        <v>0.0369</v>
      </c>
      <c r="K52" s="47" t="n">
        <v>1</v>
      </c>
    </row>
    <row r="53" ht="15.75" customHeight="1" s="53">
      <c r="A53" s="47" t="inlineStr">
        <is>
          <t>2024-01</t>
        </is>
      </c>
      <c r="B53" s="47" t="inlineStr">
        <is>
          <t>Smart Nutri</t>
        </is>
      </c>
      <c r="C53" s="47" t="inlineStr">
        <is>
          <t>Formatação</t>
        </is>
      </c>
      <c r="D53" s="48" t="n">
        <v>18414.05</v>
      </c>
      <c r="E53" s="47" t="n">
        <v>1</v>
      </c>
      <c r="F53" s="47" t="n">
        <v>112</v>
      </c>
      <c r="G53" s="47" t="n">
        <v>9</v>
      </c>
      <c r="H53" s="48" t="n">
        <v>29663.61</v>
      </c>
      <c r="I53" s="48" t="n">
        <v>-11249.56</v>
      </c>
      <c r="J53" s="49" t="n">
        <v>-0.6109</v>
      </c>
      <c r="K53" s="47" t="n">
        <v>1</v>
      </c>
    </row>
    <row r="54" ht="15.75" customHeight="1" s="53">
      <c r="A54" s="47" t="inlineStr">
        <is>
          <t>2024-02</t>
        </is>
      </c>
      <c r="B54" s="47" t="inlineStr">
        <is>
          <t>Clínica da Cidade</t>
        </is>
      </c>
      <c r="C54" s="47" t="inlineStr">
        <is>
          <t>Formatação</t>
        </is>
      </c>
      <c r="D54" s="48" t="n">
        <v>38477.27</v>
      </c>
      <c r="E54" s="47" t="n">
        <v>1</v>
      </c>
      <c r="F54" s="47" t="n">
        <v>113</v>
      </c>
      <c r="G54" s="47" t="n">
        <v>18</v>
      </c>
      <c r="H54" s="48" t="n">
        <v>37165.87</v>
      </c>
      <c r="I54" s="48" t="n">
        <v>1311.4</v>
      </c>
      <c r="J54" s="49" t="n">
        <v>0.0341</v>
      </c>
      <c r="K54" s="47" t="n">
        <v>2</v>
      </c>
    </row>
    <row r="55" ht="15.75" customHeight="1" s="53">
      <c r="A55" s="47" t="inlineStr">
        <is>
          <t>2024-02</t>
        </is>
      </c>
      <c r="B55" s="47" t="inlineStr">
        <is>
          <t>Cogni Academy</t>
        </is>
      </c>
      <c r="C55" s="47" t="inlineStr">
        <is>
          <t>Formatação</t>
        </is>
      </c>
      <c r="D55" s="48" t="n">
        <v>18714.64</v>
      </c>
      <c r="E55" s="47" t="n">
        <v>1</v>
      </c>
      <c r="F55" s="47" t="n">
        <v>113</v>
      </c>
      <c r="G55" s="47" t="n">
        <v>8</v>
      </c>
      <c r="H55" s="48" t="n">
        <v>30228.04</v>
      </c>
      <c r="I55" s="48" t="n">
        <v>-11513.4</v>
      </c>
      <c r="J55" s="49" t="n">
        <v>-0.6152</v>
      </c>
      <c r="K55" s="47" t="n">
        <v>2</v>
      </c>
    </row>
    <row r="56" ht="15.75" customHeight="1" s="53">
      <c r="A56" s="47" t="inlineStr">
        <is>
          <t>2024-02</t>
        </is>
      </c>
      <c r="B56" s="47" t="inlineStr">
        <is>
          <t>EduKids Brasil</t>
        </is>
      </c>
      <c r="C56" s="47" t="inlineStr">
        <is>
          <t>Formatação</t>
        </is>
      </c>
      <c r="D56" s="48" t="n">
        <v>54837.03</v>
      </c>
      <c r="E56" s="47" t="n">
        <v>1</v>
      </c>
      <c r="F56" s="47" t="n">
        <v>109</v>
      </c>
      <c r="G56" s="47" t="n">
        <v>35</v>
      </c>
      <c r="H56" s="48" t="n">
        <v>48224.65</v>
      </c>
      <c r="I56" s="48" t="n">
        <v>6612.38</v>
      </c>
      <c r="J56" s="49" t="n">
        <v>0.1206</v>
      </c>
      <c r="K56" s="47" t="n">
        <v>2</v>
      </c>
    </row>
    <row r="57" ht="15.75" customHeight="1" s="53">
      <c r="A57" s="47" t="inlineStr">
        <is>
          <t>2024-02</t>
        </is>
      </c>
      <c r="B57" s="47" t="inlineStr">
        <is>
          <t>Smart Nutri</t>
        </is>
      </c>
      <c r="C57" s="47" t="inlineStr">
        <is>
          <t>Formatação</t>
        </is>
      </c>
      <c r="D57" s="48" t="n">
        <v>57117.41</v>
      </c>
      <c r="E57" s="47" t="n">
        <v>1</v>
      </c>
      <c r="F57" s="47" t="n">
        <v>99</v>
      </c>
      <c r="G57" s="47" t="n">
        <v>31</v>
      </c>
      <c r="H57" s="48" t="n">
        <v>47723.85</v>
      </c>
      <c r="I57" s="48" t="n">
        <v>9393.559999999999</v>
      </c>
      <c r="J57" s="49" t="n">
        <v>0.1645</v>
      </c>
      <c r="K57" s="47" t="n">
        <v>2</v>
      </c>
    </row>
    <row r="58" ht="15.75" customHeight="1" s="53">
      <c r="A58" s="47" t="inlineStr">
        <is>
          <t>2024-03</t>
        </is>
      </c>
      <c r="B58" s="47" t="inlineStr">
        <is>
          <t>Clínica da Cidade</t>
        </is>
      </c>
      <c r="C58" s="47" t="inlineStr">
        <is>
          <t>Formatação</t>
        </is>
      </c>
      <c r="D58" s="48" t="n">
        <v>35799.99</v>
      </c>
      <c r="E58" s="47" t="n">
        <v>1</v>
      </c>
      <c r="F58" s="47" t="n">
        <v>109</v>
      </c>
      <c r="G58" s="47" t="n">
        <v>16</v>
      </c>
      <c r="H58" s="48" t="n">
        <v>38853.17</v>
      </c>
      <c r="I58" s="48" t="n">
        <v>-3053.18</v>
      </c>
      <c r="J58" s="49" t="n">
        <v>-0.0853</v>
      </c>
      <c r="K58" s="47" t="n">
        <v>3</v>
      </c>
    </row>
    <row r="59" ht="15.75" customHeight="1" s="53">
      <c r="A59" s="47" t="inlineStr">
        <is>
          <t>2024-03</t>
        </is>
      </c>
      <c r="B59" s="47" t="inlineStr">
        <is>
          <t>Cogni Academy</t>
        </is>
      </c>
      <c r="C59" s="47" t="inlineStr">
        <is>
          <t>Formatação</t>
        </is>
      </c>
      <c r="D59" s="48" t="n">
        <v>17629.42</v>
      </c>
      <c r="E59" s="47" t="n">
        <v>1</v>
      </c>
      <c r="F59" s="47" t="n">
        <v>106</v>
      </c>
      <c r="G59" s="47" t="n">
        <v>12</v>
      </c>
      <c r="H59" s="48" t="n">
        <v>31588.64</v>
      </c>
      <c r="I59" s="48" t="n">
        <v>-13959.22</v>
      </c>
      <c r="J59" s="49" t="n">
        <v>-0.7917999999999999</v>
      </c>
      <c r="K59" s="47" t="n">
        <v>3</v>
      </c>
    </row>
    <row r="60" ht="15.75" customHeight="1" s="53">
      <c r="A60" s="47" t="inlineStr">
        <is>
          <t>2024-03</t>
        </is>
      </c>
      <c r="B60" s="47" t="inlineStr">
        <is>
          <t>EduKids Brasil</t>
        </is>
      </c>
      <c r="C60" s="47" t="inlineStr">
        <is>
          <t>Formatação</t>
        </is>
      </c>
      <c r="D60" s="48" t="n">
        <v>38246.23</v>
      </c>
      <c r="E60" s="47" t="n">
        <v>1</v>
      </c>
      <c r="F60" s="47" t="n">
        <v>102</v>
      </c>
      <c r="G60" s="47" t="n">
        <v>15</v>
      </c>
      <c r="H60" s="48" t="n">
        <v>35694.61</v>
      </c>
      <c r="I60" s="48" t="n">
        <v>2551.62</v>
      </c>
      <c r="J60" s="49" t="n">
        <v>0.0667</v>
      </c>
      <c r="K60" s="47" t="n">
        <v>3</v>
      </c>
    </row>
    <row r="61" ht="15.75" customHeight="1" s="53">
      <c r="A61" s="47" t="inlineStr">
        <is>
          <t>2024-03</t>
        </is>
      </c>
      <c r="B61" s="47" t="inlineStr">
        <is>
          <t>Smart Nutri</t>
        </is>
      </c>
      <c r="C61" s="47" t="inlineStr">
        <is>
          <t>Formatação</t>
        </is>
      </c>
      <c r="D61" s="48" t="n">
        <v>18396.77</v>
      </c>
      <c r="E61" s="47" t="n">
        <v>1</v>
      </c>
      <c r="F61" s="47" t="n">
        <v>94</v>
      </c>
      <c r="G61" s="47" t="n">
        <v>8</v>
      </c>
      <c r="H61" s="48" t="n">
        <v>29531.46</v>
      </c>
      <c r="I61" s="48" t="n">
        <v>-11134.69</v>
      </c>
      <c r="J61" s="49" t="n">
        <v>-0.6052999999999999</v>
      </c>
      <c r="K61" s="47" t="n">
        <v>3</v>
      </c>
    </row>
    <row r="62" ht="15.75" customHeight="1" s="53">
      <c r="A62" s="47" t="inlineStr">
        <is>
          <t>2024-04</t>
        </is>
      </c>
      <c r="B62" s="47" t="inlineStr">
        <is>
          <t>Clínica da Cidade</t>
        </is>
      </c>
      <c r="C62" s="47" t="inlineStr">
        <is>
          <t>Formatação</t>
        </is>
      </c>
      <c r="D62" s="48" t="n">
        <v>35292.57</v>
      </c>
      <c r="E62" s="47" t="n">
        <v>1</v>
      </c>
      <c r="F62" s="47" t="n">
        <v>108</v>
      </c>
      <c r="G62" s="47" t="n">
        <v>16</v>
      </c>
      <c r="H62" s="48" t="n">
        <v>37736.77</v>
      </c>
      <c r="I62" s="48" t="n">
        <v>-2444.2</v>
      </c>
      <c r="J62" s="49" t="n">
        <v>-0.0693</v>
      </c>
      <c r="K62" s="47" t="n">
        <v>4</v>
      </c>
    </row>
    <row r="63" ht="15.75" customHeight="1" s="53">
      <c r="A63" s="47" t="inlineStr">
        <is>
          <t>2024-04</t>
        </is>
      </c>
      <c r="B63" s="47" t="inlineStr">
        <is>
          <t>Cogni Academy</t>
        </is>
      </c>
      <c r="C63" s="47" t="inlineStr">
        <is>
          <t>Formatação</t>
        </is>
      </c>
      <c r="D63" s="48" t="n">
        <v>19090.65</v>
      </c>
      <c r="E63" s="47" t="n">
        <v>1</v>
      </c>
      <c r="F63" s="47" t="n">
        <v>105</v>
      </c>
      <c r="G63" s="47" t="n">
        <v>9</v>
      </c>
      <c r="H63" s="48" t="n">
        <v>29514.15</v>
      </c>
      <c r="I63" s="48" t="n">
        <v>-10423.5</v>
      </c>
      <c r="J63" s="49" t="n">
        <v>-0.546</v>
      </c>
      <c r="K63" s="47" t="n">
        <v>4</v>
      </c>
    </row>
    <row r="64" ht="15.75" customHeight="1" s="53">
      <c r="A64" s="47" t="inlineStr">
        <is>
          <t>2024-04</t>
        </is>
      </c>
      <c r="B64" s="47" t="inlineStr">
        <is>
          <t>EduKids Brasil</t>
        </is>
      </c>
      <c r="C64" s="47" t="inlineStr">
        <is>
          <t>Formatação</t>
        </is>
      </c>
      <c r="D64" s="48" t="n">
        <v>18966.06</v>
      </c>
      <c r="E64" s="47" t="n">
        <v>1</v>
      </c>
      <c r="F64" s="47" t="n">
        <v>109</v>
      </c>
      <c r="G64" s="47" t="n">
        <v>11</v>
      </c>
      <c r="H64" s="48" t="n">
        <v>29575.72</v>
      </c>
      <c r="I64" s="48" t="n">
        <v>-10609.66</v>
      </c>
      <c r="J64" s="49" t="n">
        <v>-0.5594</v>
      </c>
      <c r="K64" s="47" t="n">
        <v>4</v>
      </c>
    </row>
    <row r="65" ht="15.75" customHeight="1" s="53">
      <c r="A65" s="47" t="inlineStr">
        <is>
          <t>2024-04</t>
        </is>
      </c>
      <c r="B65" s="47" t="inlineStr">
        <is>
          <t>Smart Nutri</t>
        </is>
      </c>
      <c r="C65" s="47" t="inlineStr">
        <is>
          <t>Formatação</t>
        </is>
      </c>
      <c r="D65" s="48" t="n">
        <v>53964.06</v>
      </c>
      <c r="E65" s="47" t="n">
        <v>1</v>
      </c>
      <c r="F65" s="47" t="n">
        <v>112</v>
      </c>
      <c r="G65" s="47" t="n">
        <v>31</v>
      </c>
      <c r="H65" s="48" t="n">
        <v>46306.2</v>
      </c>
      <c r="I65" s="48" t="n">
        <v>7657.86</v>
      </c>
      <c r="J65" s="49" t="n">
        <v>0.1419</v>
      </c>
      <c r="K65" s="47" t="n">
        <v>4</v>
      </c>
      <c r="N65" s="46">
        <f>AVERAGE(J50:J97)</f>
        <v/>
      </c>
    </row>
    <row r="66" ht="15.75" customHeight="1" s="53">
      <c r="A66" s="47" t="inlineStr">
        <is>
          <t>2024-05</t>
        </is>
      </c>
      <c r="B66" s="47" t="inlineStr">
        <is>
          <t>Clínica da Cidade</t>
        </is>
      </c>
      <c r="C66" s="47" t="inlineStr">
        <is>
          <t>Formatação</t>
        </is>
      </c>
      <c r="D66" s="48" t="n">
        <v>53857.7</v>
      </c>
      <c r="E66" s="47" t="n">
        <v>1</v>
      </c>
      <c r="F66" s="47" t="n">
        <v>104</v>
      </c>
      <c r="G66" s="47" t="n">
        <v>27</v>
      </c>
      <c r="H66" s="48" t="n">
        <v>45153.73</v>
      </c>
      <c r="I66" s="48" t="n">
        <v>8703.969999999999</v>
      </c>
      <c r="J66" s="49" t="n">
        <v>0.1616</v>
      </c>
      <c r="K66" s="47" t="n">
        <v>5</v>
      </c>
    </row>
    <row r="67" ht="15.75" customHeight="1" s="53">
      <c r="A67" s="47" t="inlineStr">
        <is>
          <t>2024-05</t>
        </is>
      </c>
      <c r="B67" s="47" t="inlineStr">
        <is>
          <t>Cogni Academy</t>
        </is>
      </c>
      <c r="C67" s="47" t="inlineStr">
        <is>
          <t>Formatação</t>
        </is>
      </c>
      <c r="D67" s="48" t="n">
        <v>19378.32</v>
      </c>
      <c r="E67" s="47" t="n">
        <v>1</v>
      </c>
      <c r="F67" s="47" t="n">
        <v>117</v>
      </c>
      <c r="G67" s="47" t="n">
        <v>12</v>
      </c>
      <c r="H67" s="48" t="n">
        <v>31522.29</v>
      </c>
      <c r="I67" s="48" t="n">
        <v>-12143.97</v>
      </c>
      <c r="J67" s="49" t="n">
        <v>-0.6267</v>
      </c>
      <c r="K67" s="47" t="n">
        <v>5</v>
      </c>
    </row>
    <row r="68" ht="15.75" customHeight="1" s="53">
      <c r="A68" s="47" t="inlineStr">
        <is>
          <t>2024-05</t>
        </is>
      </c>
      <c r="B68" s="47" t="inlineStr">
        <is>
          <t>EduKids Brasil</t>
        </is>
      </c>
      <c r="C68" s="47" t="inlineStr">
        <is>
          <t>Formatação</t>
        </is>
      </c>
      <c r="D68" s="48" t="n">
        <v>54751.64</v>
      </c>
      <c r="E68" s="47" t="n">
        <v>1</v>
      </c>
      <c r="F68" s="47" t="n">
        <v>107</v>
      </c>
      <c r="G68" s="47" t="n">
        <v>28</v>
      </c>
      <c r="H68" s="48" t="n">
        <v>45328.28</v>
      </c>
      <c r="I68" s="48" t="n">
        <v>9423.360000000001</v>
      </c>
      <c r="J68" s="49" t="n">
        <v>0.1721</v>
      </c>
      <c r="K68" s="47" t="n">
        <v>5</v>
      </c>
    </row>
    <row r="69" ht="15.75" customHeight="1" s="53">
      <c r="A69" s="47" t="inlineStr">
        <is>
          <t>2024-05</t>
        </is>
      </c>
      <c r="B69" s="47" t="inlineStr">
        <is>
          <t>Smart Nutri</t>
        </is>
      </c>
      <c r="C69" s="47" t="inlineStr">
        <is>
          <t>Formatação</t>
        </is>
      </c>
      <c r="D69" s="48" t="n">
        <v>38771.17</v>
      </c>
      <c r="E69" s="47" t="n">
        <v>1</v>
      </c>
      <c r="F69" s="47" t="n">
        <v>102</v>
      </c>
      <c r="G69" s="47" t="n">
        <v>19</v>
      </c>
      <c r="H69" s="48" t="n">
        <v>37158.79</v>
      </c>
      <c r="I69" s="48" t="n">
        <v>1612.38</v>
      </c>
      <c r="J69" s="49" t="n">
        <v>0.0416</v>
      </c>
      <c r="K69" s="47" t="n">
        <v>5</v>
      </c>
    </row>
    <row r="70" ht="15.75" customHeight="1" s="53">
      <c r="A70" s="47" t="inlineStr">
        <is>
          <t>2024-06</t>
        </is>
      </c>
      <c r="B70" s="47" t="inlineStr">
        <is>
          <t>Clínica da Cidade</t>
        </is>
      </c>
      <c r="C70" s="47" t="inlineStr">
        <is>
          <t>Formatação</t>
        </is>
      </c>
      <c r="D70" s="48" t="n">
        <v>38876.35</v>
      </c>
      <c r="E70" s="47" t="n">
        <v>1</v>
      </c>
      <c r="F70" s="47" t="n">
        <v>102</v>
      </c>
      <c r="G70" s="47" t="n">
        <v>18</v>
      </c>
      <c r="H70" s="48" t="n">
        <v>36875.9</v>
      </c>
      <c r="I70" s="48" t="n">
        <v>2000.45</v>
      </c>
      <c r="J70" s="49" t="n">
        <v>0.0515</v>
      </c>
      <c r="K70" s="47" t="n">
        <v>6</v>
      </c>
    </row>
    <row r="71" ht="15.75" customHeight="1" s="53">
      <c r="A71" s="47" t="inlineStr">
        <is>
          <t>2024-06</t>
        </is>
      </c>
      <c r="B71" s="47" t="inlineStr">
        <is>
          <t>Cogni Academy</t>
        </is>
      </c>
      <c r="C71" s="47" t="inlineStr">
        <is>
          <t>Formatação</t>
        </is>
      </c>
      <c r="D71" s="48" t="n">
        <v>37172.87</v>
      </c>
      <c r="E71" s="47" t="n">
        <v>1</v>
      </c>
      <c r="F71" s="47" t="n">
        <v>118</v>
      </c>
      <c r="G71" s="47" t="n">
        <v>19</v>
      </c>
      <c r="H71" s="48" t="n">
        <v>39918.42</v>
      </c>
      <c r="I71" s="48" t="n">
        <v>-2745.55</v>
      </c>
      <c r="J71" s="49" t="n">
        <v>-0.07389999999999999</v>
      </c>
      <c r="K71" s="47" t="n">
        <v>6</v>
      </c>
    </row>
    <row r="72" ht="15.75" customHeight="1" s="53">
      <c r="A72" s="47" t="inlineStr">
        <is>
          <t>2024-06</t>
        </is>
      </c>
      <c r="B72" s="47" t="inlineStr">
        <is>
          <t>EduKids Brasil</t>
        </is>
      </c>
      <c r="C72" s="47" t="inlineStr">
        <is>
          <t>Formatação</t>
        </is>
      </c>
      <c r="D72" s="48" t="n">
        <v>37994.88</v>
      </c>
      <c r="E72" s="47" t="n">
        <v>1</v>
      </c>
      <c r="F72" s="47" t="n">
        <v>109</v>
      </c>
      <c r="G72" s="47" t="n">
        <v>19</v>
      </c>
      <c r="H72" s="48" t="n">
        <v>38536.87</v>
      </c>
      <c r="I72" s="48" t="n">
        <v>-541.99</v>
      </c>
      <c r="J72" s="49" t="n">
        <v>-0.0143</v>
      </c>
      <c r="K72" s="47" t="n">
        <v>6</v>
      </c>
    </row>
    <row r="73" ht="15.75" customHeight="1" s="53">
      <c r="A73" s="47" t="inlineStr">
        <is>
          <t>2024-06</t>
        </is>
      </c>
      <c r="B73" s="47" t="inlineStr">
        <is>
          <t>Smart Nutri</t>
        </is>
      </c>
      <c r="C73" s="47" t="inlineStr">
        <is>
          <t>Formatação</t>
        </is>
      </c>
      <c r="D73" s="48" t="n">
        <v>18411.13</v>
      </c>
      <c r="E73" s="47" t="n">
        <v>1</v>
      </c>
      <c r="F73" s="47" t="n">
        <v>115</v>
      </c>
      <c r="G73" s="47" t="n">
        <v>12</v>
      </c>
      <c r="H73" s="48" t="n">
        <v>31774.78</v>
      </c>
      <c r="I73" s="48" t="n">
        <v>-13363.65</v>
      </c>
      <c r="J73" s="49" t="n">
        <v>-0.7258</v>
      </c>
      <c r="K73" s="47" t="n">
        <v>6</v>
      </c>
    </row>
    <row r="74" ht="15.75" customHeight="1" s="53">
      <c r="A74" s="47" t="inlineStr">
        <is>
          <t>2024-07</t>
        </is>
      </c>
      <c r="B74" s="47" t="inlineStr">
        <is>
          <t>Clínica da Cidade</t>
        </is>
      </c>
      <c r="C74" s="47" t="inlineStr">
        <is>
          <t>Formatação</t>
        </is>
      </c>
      <c r="D74" s="48" t="n">
        <v>18383.31</v>
      </c>
      <c r="E74" s="47" t="n">
        <v>1</v>
      </c>
      <c r="F74" s="47" t="n">
        <v>105</v>
      </c>
      <c r="G74" s="47" t="n">
        <v>11</v>
      </c>
      <c r="H74" s="48" t="n">
        <v>30932</v>
      </c>
      <c r="I74" s="48" t="n">
        <v>-12548.69</v>
      </c>
      <c r="J74" s="49" t="n">
        <v>-0.6826</v>
      </c>
      <c r="K74" s="47" t="n">
        <v>7</v>
      </c>
    </row>
    <row r="75" ht="15.75" customHeight="1" s="53">
      <c r="A75" s="47" t="inlineStr">
        <is>
          <t>2024-07</t>
        </is>
      </c>
      <c r="B75" s="47" t="inlineStr">
        <is>
          <t>Cogni Academy</t>
        </is>
      </c>
      <c r="C75" s="47" t="inlineStr">
        <is>
          <t>Formatação</t>
        </is>
      </c>
      <c r="D75" s="48" t="n">
        <v>17747.27</v>
      </c>
      <c r="E75" s="47" t="n">
        <v>1</v>
      </c>
      <c r="F75" s="47" t="n">
        <v>105</v>
      </c>
      <c r="G75" s="47" t="n">
        <v>11</v>
      </c>
      <c r="H75" s="48" t="n">
        <v>30147.95</v>
      </c>
      <c r="I75" s="48" t="n">
        <v>-12400.68</v>
      </c>
      <c r="J75" s="49" t="n">
        <v>-0.6987</v>
      </c>
      <c r="K75" s="47" t="n">
        <v>7</v>
      </c>
    </row>
    <row r="76" ht="15.75" customHeight="1" s="53">
      <c r="A76" s="47" t="inlineStr">
        <is>
          <t>2024-07</t>
        </is>
      </c>
      <c r="B76" s="47" t="inlineStr">
        <is>
          <t>EduKids Brasil</t>
        </is>
      </c>
      <c r="C76" s="47" t="inlineStr">
        <is>
          <t>Formatação</t>
        </is>
      </c>
      <c r="D76" s="48" t="n">
        <v>37166.74</v>
      </c>
      <c r="E76" s="47" t="n">
        <v>1</v>
      </c>
      <c r="F76" s="47" t="n">
        <v>104</v>
      </c>
      <c r="G76" s="47" t="n">
        <v>19</v>
      </c>
      <c r="H76" s="48" t="n">
        <v>39737.15</v>
      </c>
      <c r="I76" s="48" t="n">
        <v>-2570.41</v>
      </c>
      <c r="J76" s="49" t="n">
        <v>-0.0692</v>
      </c>
      <c r="K76" s="47" t="n">
        <v>7</v>
      </c>
    </row>
    <row r="77" ht="15.75" customHeight="1" s="53">
      <c r="A77" s="47" t="inlineStr">
        <is>
          <t>2024-07</t>
        </is>
      </c>
      <c r="B77" s="47" t="inlineStr">
        <is>
          <t>Smart Nutri</t>
        </is>
      </c>
      <c r="C77" s="47" t="inlineStr">
        <is>
          <t>Formatação</t>
        </is>
      </c>
      <c r="D77" s="48" t="n">
        <v>18085.35</v>
      </c>
      <c r="E77" s="47" t="n">
        <v>1</v>
      </c>
      <c r="F77" s="47" t="n">
        <v>106</v>
      </c>
      <c r="G77" s="47" t="n">
        <v>11</v>
      </c>
      <c r="H77" s="48" t="n">
        <v>30877.47</v>
      </c>
      <c r="I77" s="48" t="n">
        <v>-12792.12</v>
      </c>
      <c r="J77" s="49" t="n">
        <v>-0.7073</v>
      </c>
      <c r="K77" s="47" t="n">
        <v>7</v>
      </c>
    </row>
    <row r="78" ht="15.75" customHeight="1" s="53">
      <c r="A78" s="47" t="inlineStr">
        <is>
          <t>2024-08</t>
        </is>
      </c>
      <c r="B78" s="47" t="inlineStr">
        <is>
          <t>Clínica da Cidade</t>
        </is>
      </c>
      <c r="C78" s="47" t="inlineStr">
        <is>
          <t>Formatação</t>
        </is>
      </c>
      <c r="D78" s="48" t="n">
        <v>37748.96</v>
      </c>
      <c r="E78" s="47" t="n">
        <v>1</v>
      </c>
      <c r="F78" s="47" t="n">
        <v>103</v>
      </c>
      <c r="G78" s="47" t="n">
        <v>15</v>
      </c>
      <c r="H78" s="48" t="n">
        <v>37476.99</v>
      </c>
      <c r="I78" s="48" t="n">
        <v>271.97</v>
      </c>
      <c r="J78" s="49" t="n">
        <v>0.0072</v>
      </c>
      <c r="K78" s="47" t="n">
        <v>8</v>
      </c>
    </row>
    <row r="79" ht="15.75" customHeight="1" s="53">
      <c r="A79" s="47" t="inlineStr">
        <is>
          <t>2024-08</t>
        </is>
      </c>
      <c r="B79" s="47" t="inlineStr">
        <is>
          <t>Cogni Academy</t>
        </is>
      </c>
      <c r="C79" s="47" t="inlineStr">
        <is>
          <t>Formatação</t>
        </is>
      </c>
      <c r="D79" s="48" t="n">
        <v>18787.59</v>
      </c>
      <c r="E79" s="47" t="n">
        <v>1</v>
      </c>
      <c r="F79" s="47" t="n">
        <v>109</v>
      </c>
      <c r="G79" s="47" t="n">
        <v>11</v>
      </c>
      <c r="H79" s="48" t="n">
        <v>31487.19</v>
      </c>
      <c r="I79" s="48" t="n">
        <v>-12699.6</v>
      </c>
      <c r="J79" s="49" t="n">
        <v>-0.676</v>
      </c>
      <c r="K79" s="47" t="n">
        <v>8</v>
      </c>
    </row>
    <row r="80" ht="15.75" customHeight="1" s="53">
      <c r="A80" s="47" t="inlineStr">
        <is>
          <t>2024-08</t>
        </is>
      </c>
      <c r="B80" s="47" t="inlineStr">
        <is>
          <t>EduKids Brasil</t>
        </is>
      </c>
      <c r="C80" s="47" t="inlineStr">
        <is>
          <t>Formatação</t>
        </is>
      </c>
      <c r="D80" s="48" t="n">
        <v>36473.7</v>
      </c>
      <c r="E80" s="47" t="n">
        <v>1</v>
      </c>
      <c r="F80" s="47" t="n">
        <v>104</v>
      </c>
      <c r="G80" s="47" t="n">
        <v>17</v>
      </c>
      <c r="H80" s="48" t="n">
        <v>36876.88</v>
      </c>
      <c r="I80" s="48" t="n">
        <v>-403.18</v>
      </c>
      <c r="J80" s="49" t="n">
        <v>-0.0111</v>
      </c>
      <c r="K80" s="47" t="n">
        <v>8</v>
      </c>
    </row>
    <row r="81" ht="15.75" customHeight="1" s="53">
      <c r="A81" s="47" t="inlineStr">
        <is>
          <t>2024-08</t>
        </is>
      </c>
      <c r="B81" s="47" t="inlineStr">
        <is>
          <t>Smart Nutri</t>
        </is>
      </c>
      <c r="C81" s="47" t="inlineStr">
        <is>
          <t>Formatação</t>
        </is>
      </c>
      <c r="D81" s="48" t="n">
        <v>35992.32</v>
      </c>
      <c r="E81" s="47" t="n">
        <v>1</v>
      </c>
      <c r="F81" s="47" t="n">
        <v>107</v>
      </c>
      <c r="G81" s="47" t="n">
        <v>17</v>
      </c>
      <c r="H81" s="48" t="n">
        <v>36643.94</v>
      </c>
      <c r="I81" s="48" t="n">
        <v>-651.62</v>
      </c>
      <c r="J81" s="49" t="n">
        <v>-0.0181</v>
      </c>
      <c r="K81" s="47" t="n">
        <v>8</v>
      </c>
    </row>
    <row r="82" ht="15.75" customHeight="1" s="53">
      <c r="A82" s="47" t="inlineStr">
        <is>
          <t>2024-09</t>
        </is>
      </c>
      <c r="B82" s="47" t="inlineStr">
        <is>
          <t>Clínica da Cidade</t>
        </is>
      </c>
      <c r="C82" s="47" t="inlineStr">
        <is>
          <t>Formatação</t>
        </is>
      </c>
      <c r="D82" s="48" t="n">
        <v>36029.41</v>
      </c>
      <c r="E82" s="47" t="n">
        <v>1</v>
      </c>
      <c r="F82" s="47" t="n">
        <v>109</v>
      </c>
      <c r="G82" s="47" t="n">
        <v>16</v>
      </c>
      <c r="H82" s="48" t="n">
        <v>39167.44</v>
      </c>
      <c r="I82" s="48" t="n">
        <v>-3138.03</v>
      </c>
      <c r="J82" s="49" t="n">
        <v>-0.0871</v>
      </c>
      <c r="K82" s="47" t="n">
        <v>9</v>
      </c>
    </row>
    <row r="83" ht="15.75" customHeight="1" s="53">
      <c r="A83" s="47" t="inlineStr">
        <is>
          <t>2024-09</t>
        </is>
      </c>
      <c r="B83" s="47" t="inlineStr">
        <is>
          <t>Cogni Academy</t>
        </is>
      </c>
      <c r="C83" s="47" t="inlineStr">
        <is>
          <t>Formatação</t>
        </is>
      </c>
      <c r="D83" s="48" t="n">
        <v>38356.19</v>
      </c>
      <c r="E83" s="47" t="n">
        <v>1</v>
      </c>
      <c r="F83" s="47" t="n">
        <v>104</v>
      </c>
      <c r="G83" s="47" t="n">
        <v>20</v>
      </c>
      <c r="H83" s="48" t="n">
        <v>36568.57</v>
      </c>
      <c r="I83" s="48" t="n">
        <v>1787.62</v>
      </c>
      <c r="J83" s="49" t="n">
        <v>0.0466</v>
      </c>
      <c r="K83" s="47" t="n">
        <v>9</v>
      </c>
    </row>
    <row r="84" ht="15.75" customHeight="1" s="53">
      <c r="A84" s="47" t="inlineStr">
        <is>
          <t>2024-09</t>
        </is>
      </c>
      <c r="B84" s="47" t="inlineStr">
        <is>
          <t>EduKids Brasil</t>
        </is>
      </c>
      <c r="C84" s="47" t="inlineStr">
        <is>
          <t>Formatação</t>
        </is>
      </c>
      <c r="D84" s="48" t="n">
        <v>18739.66</v>
      </c>
      <c r="E84" s="47" t="n">
        <v>1</v>
      </c>
      <c r="F84" s="47" t="n">
        <v>106</v>
      </c>
      <c r="G84" s="47" t="n">
        <v>10</v>
      </c>
      <c r="H84" s="48" t="n">
        <v>30268.46</v>
      </c>
      <c r="I84" s="48" t="n">
        <v>-11528.8</v>
      </c>
      <c r="J84" s="49" t="n">
        <v>-0.6152</v>
      </c>
      <c r="K84" s="47" t="n">
        <v>9</v>
      </c>
    </row>
    <row r="85" ht="15.75" customHeight="1" s="53">
      <c r="A85" s="47" t="inlineStr">
        <is>
          <t>2024-09</t>
        </is>
      </c>
      <c r="B85" s="47" t="inlineStr">
        <is>
          <t>Smart Nutri</t>
        </is>
      </c>
      <c r="C85" s="47" t="inlineStr">
        <is>
          <t>Formatação</t>
        </is>
      </c>
      <c r="D85" s="48" t="n">
        <v>18722.79</v>
      </c>
      <c r="E85" s="47" t="n">
        <v>1</v>
      </c>
      <c r="F85" s="47" t="n">
        <v>109</v>
      </c>
      <c r="G85" s="47" t="n">
        <v>8</v>
      </c>
      <c r="H85" s="48" t="n">
        <v>30436.36</v>
      </c>
      <c r="I85" s="48" t="n">
        <v>-11713.57</v>
      </c>
      <c r="J85" s="49" t="n">
        <v>-0.6256</v>
      </c>
      <c r="K85" s="47" t="n">
        <v>9</v>
      </c>
    </row>
    <row r="86" ht="15.75" customHeight="1" s="53">
      <c r="A86" s="47" t="inlineStr">
        <is>
          <t>2024-10</t>
        </is>
      </c>
      <c r="B86" s="47" t="inlineStr">
        <is>
          <t>Clínica da Cidade</t>
        </is>
      </c>
      <c r="C86" s="47" t="inlineStr">
        <is>
          <t>Formatação</t>
        </is>
      </c>
      <c r="D86" s="48" t="n">
        <v>36377.17</v>
      </c>
      <c r="E86" s="47" t="n">
        <v>1</v>
      </c>
      <c r="F86" s="47" t="n">
        <v>107</v>
      </c>
      <c r="G86" s="47" t="n">
        <v>17</v>
      </c>
      <c r="H86" s="48" t="n">
        <v>38884.47</v>
      </c>
      <c r="I86" s="48" t="n">
        <v>-2507.3</v>
      </c>
      <c r="J86" s="49" t="n">
        <v>-0.0689</v>
      </c>
      <c r="K86" s="47" t="n">
        <v>10</v>
      </c>
    </row>
    <row r="87" ht="15.75" customHeight="1" s="53">
      <c r="A87" s="47" t="inlineStr">
        <is>
          <t>2024-10</t>
        </is>
      </c>
      <c r="B87" s="47" t="inlineStr">
        <is>
          <t>Cogni Academy</t>
        </is>
      </c>
      <c r="C87" s="47" t="inlineStr">
        <is>
          <t>Formatação</t>
        </is>
      </c>
      <c r="D87" s="48" t="n">
        <v>36967.64</v>
      </c>
      <c r="E87" s="47" t="n">
        <v>1</v>
      </c>
      <c r="F87" s="47" t="n">
        <v>102</v>
      </c>
      <c r="G87" s="47" t="n">
        <v>16</v>
      </c>
      <c r="H87" s="48" t="n">
        <v>36845.2</v>
      </c>
      <c r="I87" s="48" t="n">
        <v>122.44</v>
      </c>
      <c r="J87" s="49" t="n">
        <v>0.0033</v>
      </c>
      <c r="K87" s="47" t="n">
        <v>10</v>
      </c>
    </row>
    <row r="88" ht="15.75" customHeight="1" s="53">
      <c r="A88" s="47" t="inlineStr">
        <is>
          <t>2024-10</t>
        </is>
      </c>
      <c r="B88" s="47" t="inlineStr">
        <is>
          <t>EduKids Brasil</t>
        </is>
      </c>
      <c r="C88" s="47" t="inlineStr">
        <is>
          <t>Formatação</t>
        </is>
      </c>
      <c r="D88" s="48" t="n">
        <v>18797.98</v>
      </c>
      <c r="E88" s="47" t="n">
        <v>1</v>
      </c>
      <c r="F88" s="47" t="n">
        <v>97</v>
      </c>
      <c r="G88" s="47" t="n">
        <v>9</v>
      </c>
      <c r="H88" s="48" t="n">
        <v>28831.04</v>
      </c>
      <c r="I88" s="48" t="n">
        <v>-10033.06</v>
      </c>
      <c r="J88" s="49" t="n">
        <v>-0.5337</v>
      </c>
      <c r="K88" s="47" t="n">
        <v>10</v>
      </c>
    </row>
    <row r="89" ht="15.75" customHeight="1" s="53">
      <c r="A89" s="47" t="inlineStr">
        <is>
          <t>2024-10</t>
        </is>
      </c>
      <c r="B89" s="47" t="inlineStr">
        <is>
          <t>Smart Nutri</t>
        </is>
      </c>
      <c r="C89" s="47" t="inlineStr">
        <is>
          <t>Formatação</t>
        </is>
      </c>
      <c r="D89" s="48" t="n">
        <v>35469.12</v>
      </c>
      <c r="E89" s="47" t="n">
        <v>1</v>
      </c>
      <c r="F89" s="47" t="n">
        <v>108</v>
      </c>
      <c r="G89" s="47" t="n">
        <v>16</v>
      </c>
      <c r="H89" s="48" t="n">
        <v>36871.74</v>
      </c>
      <c r="I89" s="48" t="n">
        <v>-1402.62</v>
      </c>
      <c r="J89" s="49" t="n">
        <v>-0.0395</v>
      </c>
      <c r="K89" s="47" t="n">
        <v>10</v>
      </c>
    </row>
    <row r="90" ht="15.75" customHeight="1" s="53">
      <c r="A90" s="47" t="inlineStr">
        <is>
          <t>2024-11</t>
        </is>
      </c>
      <c r="B90" s="47" t="inlineStr">
        <is>
          <t>Clínica da Cidade</t>
        </is>
      </c>
      <c r="C90" s="47" t="inlineStr">
        <is>
          <t>Formatação</t>
        </is>
      </c>
      <c r="D90" s="48" t="n">
        <v>38073.76</v>
      </c>
      <c r="E90" s="47" t="n">
        <v>1</v>
      </c>
      <c r="F90" s="47" t="n">
        <v>92</v>
      </c>
      <c r="G90" s="47" t="n">
        <v>19</v>
      </c>
      <c r="H90" s="48" t="n">
        <v>37853.29</v>
      </c>
      <c r="I90" s="48" t="n">
        <v>220.47</v>
      </c>
      <c r="J90" s="49" t="n">
        <v>0.0058</v>
      </c>
      <c r="K90" s="47" t="n">
        <v>11</v>
      </c>
    </row>
    <row r="91" ht="15.75" customHeight="1" s="53">
      <c r="A91" s="47" t="inlineStr">
        <is>
          <t>2024-11</t>
        </is>
      </c>
      <c r="B91" s="47" t="inlineStr">
        <is>
          <t>Cogni Academy</t>
        </is>
      </c>
      <c r="C91" s="47" t="inlineStr">
        <is>
          <t>Formatação</t>
        </is>
      </c>
      <c r="D91" s="48" t="n">
        <v>37947.48</v>
      </c>
      <c r="E91" s="47" t="n">
        <v>1</v>
      </c>
      <c r="F91" s="47" t="n">
        <v>106</v>
      </c>
      <c r="G91" s="47" t="n">
        <v>16</v>
      </c>
      <c r="H91" s="48" t="n">
        <v>36219.94</v>
      </c>
      <c r="I91" s="48" t="n">
        <v>1727.54</v>
      </c>
      <c r="J91" s="49" t="n">
        <v>0.0455</v>
      </c>
      <c r="K91" s="47" t="n">
        <v>11</v>
      </c>
    </row>
    <row r="92" ht="15.75" customHeight="1" s="53">
      <c r="A92" s="47" t="inlineStr">
        <is>
          <t>2024-11</t>
        </is>
      </c>
      <c r="B92" s="47" t="inlineStr">
        <is>
          <t>EduKids Brasil</t>
        </is>
      </c>
      <c r="C92" s="47" t="inlineStr">
        <is>
          <t>Formatação</t>
        </is>
      </c>
      <c r="D92" s="48" t="n">
        <v>19313.83</v>
      </c>
      <c r="E92" s="47" t="n">
        <v>1</v>
      </c>
      <c r="F92" s="47" t="n">
        <v>93</v>
      </c>
      <c r="G92" s="47" t="n">
        <v>12</v>
      </c>
      <c r="H92" s="48" t="n">
        <v>31086.56</v>
      </c>
      <c r="I92" s="48" t="n">
        <v>-11772.73</v>
      </c>
      <c r="J92" s="49" t="n">
        <v>-0.6095</v>
      </c>
      <c r="K92" s="47" t="n">
        <v>11</v>
      </c>
    </row>
    <row r="93" ht="15.75" customHeight="1" s="53">
      <c r="A93" s="47" t="inlineStr">
        <is>
          <t>2024-11</t>
        </is>
      </c>
      <c r="B93" s="47" t="inlineStr">
        <is>
          <t>Smart Nutri</t>
        </is>
      </c>
      <c r="C93" s="47" t="inlineStr">
        <is>
          <t>Formatação</t>
        </is>
      </c>
      <c r="D93" s="48" t="n">
        <v>19247.69</v>
      </c>
      <c r="E93" s="47" t="n">
        <v>1</v>
      </c>
      <c r="F93" s="47" t="n">
        <v>115</v>
      </c>
      <c r="G93" s="47" t="n">
        <v>9</v>
      </c>
      <c r="H93" s="48" t="n">
        <v>30923.99</v>
      </c>
      <c r="I93" s="48" t="n">
        <v>-11676.3</v>
      </c>
      <c r="J93" s="49" t="n">
        <v>-0.6066</v>
      </c>
      <c r="K93" s="47" t="n">
        <v>11</v>
      </c>
    </row>
    <row r="94" ht="15.75" customHeight="1" s="53">
      <c r="A94" s="47" t="inlineStr">
        <is>
          <t>2024-12</t>
        </is>
      </c>
      <c r="B94" s="47" t="inlineStr">
        <is>
          <t>Clínica da Cidade</t>
        </is>
      </c>
      <c r="C94" s="47" t="inlineStr">
        <is>
          <t>Formatação</t>
        </is>
      </c>
      <c r="D94" s="48" t="n">
        <v>19318.06</v>
      </c>
      <c r="E94" s="47" t="n">
        <v>1</v>
      </c>
      <c r="F94" s="47" t="n">
        <v>109</v>
      </c>
      <c r="G94" s="47" t="n">
        <v>11</v>
      </c>
      <c r="H94" s="48" t="n">
        <v>29565.03</v>
      </c>
      <c r="I94" s="48" t="n">
        <v>-10246.97</v>
      </c>
      <c r="J94" s="49" t="n">
        <v>-0.5304</v>
      </c>
      <c r="K94" s="47" t="n">
        <v>12</v>
      </c>
    </row>
    <row r="95" ht="15.75" customHeight="1" s="53">
      <c r="A95" s="47" t="inlineStr">
        <is>
          <t>2024-12</t>
        </is>
      </c>
      <c r="B95" s="47" t="inlineStr">
        <is>
          <t>Cogni Academy</t>
        </is>
      </c>
      <c r="C95" s="47" t="inlineStr">
        <is>
          <t>Formatação</t>
        </is>
      </c>
      <c r="D95" s="48" t="n">
        <v>35351.99</v>
      </c>
      <c r="E95" s="47" t="n">
        <v>1</v>
      </c>
      <c r="F95" s="47" t="n">
        <v>107</v>
      </c>
      <c r="G95" s="47" t="n">
        <v>16</v>
      </c>
      <c r="H95" s="48" t="n">
        <v>36221.03</v>
      </c>
      <c r="I95" s="48" t="n">
        <v>-869.04</v>
      </c>
      <c r="J95" s="49" t="n">
        <v>-0.0246</v>
      </c>
      <c r="K95" s="47" t="n">
        <v>12</v>
      </c>
    </row>
    <row r="96" ht="15.75" customHeight="1" s="53">
      <c r="A96" s="47" t="inlineStr">
        <is>
          <t>2024-12</t>
        </is>
      </c>
      <c r="B96" s="47" t="inlineStr">
        <is>
          <t>EduKids Brasil</t>
        </is>
      </c>
      <c r="C96" s="47" t="inlineStr">
        <is>
          <t>Formatação</t>
        </is>
      </c>
      <c r="D96" s="48" t="n">
        <v>36177.27</v>
      </c>
      <c r="E96" s="47" t="n">
        <v>1</v>
      </c>
      <c r="F96" s="47" t="n">
        <v>112</v>
      </c>
      <c r="G96" s="47" t="n">
        <v>20</v>
      </c>
      <c r="H96" s="48" t="n">
        <v>37924.34</v>
      </c>
      <c r="I96" s="48" t="n">
        <v>-1747.07</v>
      </c>
      <c r="J96" s="49" t="n">
        <v>-0.0483</v>
      </c>
      <c r="K96" s="47" t="n">
        <v>12</v>
      </c>
    </row>
    <row r="97" ht="15.75" customHeight="1" s="53">
      <c r="A97" s="47" t="inlineStr">
        <is>
          <t>2024-12</t>
        </is>
      </c>
      <c r="B97" s="47" t="inlineStr">
        <is>
          <t>Smart Nutri</t>
        </is>
      </c>
      <c r="C97" s="47" t="inlineStr">
        <is>
          <t>Formatação</t>
        </is>
      </c>
      <c r="D97" s="48" t="n">
        <v>53902.75</v>
      </c>
      <c r="E97" s="47" t="n">
        <v>1</v>
      </c>
      <c r="F97" s="47" t="n">
        <v>104</v>
      </c>
      <c r="G97" s="47" t="n">
        <v>28</v>
      </c>
      <c r="H97" s="48" t="n">
        <v>46577.69</v>
      </c>
      <c r="I97" s="48" t="n">
        <v>7325.06</v>
      </c>
      <c r="J97" s="49" t="n">
        <v>0.1359</v>
      </c>
      <c r="K97" s="47" t="n">
        <v>12</v>
      </c>
    </row>
    <row r="98" ht="15.75" customHeight="1" s="53">
      <c r="A98" s="50" t="inlineStr">
        <is>
          <t>2024-01</t>
        </is>
      </c>
      <c r="B98" s="50" t="inlineStr">
        <is>
          <t>Clínica da Cidade</t>
        </is>
      </c>
      <c r="C98" s="50" t="inlineStr">
        <is>
          <t>Validação</t>
        </is>
      </c>
      <c r="D98" s="51" t="n">
        <v>10017.65</v>
      </c>
      <c r="E98" s="50" t="n">
        <v>1</v>
      </c>
      <c r="F98" s="50" t="n">
        <v>41</v>
      </c>
      <c r="G98" s="50" t="n">
        <v>0</v>
      </c>
      <c r="H98" s="51" t="n">
        <v>18673.04</v>
      </c>
      <c r="I98" s="51" t="n">
        <v>-8655.389999999999</v>
      </c>
      <c r="J98" s="52" t="n">
        <v>-0.864</v>
      </c>
      <c r="K98" s="50" t="n">
        <v>1</v>
      </c>
    </row>
    <row r="99" ht="15.75" customHeight="1" s="53">
      <c r="A99" s="50" t="inlineStr">
        <is>
          <t>2024-01</t>
        </is>
      </c>
      <c r="B99" s="50" t="inlineStr">
        <is>
          <t>EduKids Brasil</t>
        </is>
      </c>
      <c r="C99" s="50" t="inlineStr">
        <is>
          <t>Validação</t>
        </is>
      </c>
      <c r="D99" s="51" t="n">
        <v>20302.1</v>
      </c>
      <c r="E99" s="50" t="n">
        <v>2</v>
      </c>
      <c r="F99" s="50" t="n">
        <v>103</v>
      </c>
      <c r="G99" s="50" t="n">
        <v>0</v>
      </c>
      <c r="H99" s="51" t="n">
        <v>20059.42</v>
      </c>
      <c r="I99" s="51" t="n">
        <v>242.68</v>
      </c>
      <c r="J99" s="52" t="n">
        <v>0.012</v>
      </c>
      <c r="K99" s="50" t="n">
        <v>1</v>
      </c>
    </row>
    <row r="100" ht="15.75" customHeight="1" s="53">
      <c r="A100" s="50" t="inlineStr">
        <is>
          <t>2024-02</t>
        </is>
      </c>
      <c r="B100" s="50" t="inlineStr">
        <is>
          <t>Clínica da Cidade</t>
        </is>
      </c>
      <c r="C100" s="50" t="inlineStr">
        <is>
          <t>Validação</t>
        </is>
      </c>
      <c r="D100" s="51" t="n">
        <v>9998.84</v>
      </c>
      <c r="E100" s="50" t="n">
        <v>1</v>
      </c>
      <c r="F100" s="50" t="n">
        <v>43</v>
      </c>
      <c r="G100" s="50" t="n">
        <v>0</v>
      </c>
      <c r="H100" s="51" t="n">
        <v>18004.69</v>
      </c>
      <c r="I100" s="51" t="n">
        <v>-8005.85</v>
      </c>
      <c r="J100" s="52" t="n">
        <v>-0.8007</v>
      </c>
      <c r="K100" s="50" t="n">
        <v>2</v>
      </c>
    </row>
    <row r="101" ht="15.75" customHeight="1" s="53">
      <c r="A101" s="50" t="inlineStr">
        <is>
          <t>2024-03</t>
        </is>
      </c>
      <c r="B101" s="50" t="inlineStr">
        <is>
          <t>Clínica da Cidade</t>
        </is>
      </c>
      <c r="C101" s="50" t="inlineStr">
        <is>
          <t>Validação</t>
        </is>
      </c>
      <c r="D101" s="51" t="n">
        <v>10962.13</v>
      </c>
      <c r="E101" s="50" t="n">
        <v>1</v>
      </c>
      <c r="F101" s="50" t="n">
        <v>100</v>
      </c>
      <c r="G101" s="50" t="n">
        <v>0</v>
      </c>
      <c r="H101" s="51" t="n">
        <v>19604.37</v>
      </c>
      <c r="I101" s="51" t="n">
        <v>-8642.24</v>
      </c>
      <c r="J101" s="52" t="n">
        <v>-0.7884</v>
      </c>
      <c r="K101" s="50" t="n">
        <v>3</v>
      </c>
    </row>
    <row r="102" ht="15.75" customHeight="1" s="53">
      <c r="A102" s="50" t="inlineStr">
        <is>
          <t>2024-03</t>
        </is>
      </c>
      <c r="B102" s="50" t="inlineStr">
        <is>
          <t>Cogni Academy</t>
        </is>
      </c>
      <c r="C102" s="50" t="inlineStr">
        <is>
          <t>Validação</t>
        </is>
      </c>
      <c r="D102" s="51" t="n">
        <v>21658.04</v>
      </c>
      <c r="E102" s="50" t="n">
        <v>2</v>
      </c>
      <c r="F102" s="50" t="n">
        <v>59</v>
      </c>
      <c r="G102" s="50" t="n">
        <v>0</v>
      </c>
      <c r="H102" s="51" t="n">
        <v>19006.36</v>
      </c>
      <c r="I102" s="51" t="n">
        <v>2651.68</v>
      </c>
      <c r="J102" s="52" t="n">
        <v>0.1224</v>
      </c>
      <c r="K102" s="50" t="n">
        <v>3</v>
      </c>
    </row>
    <row r="103" ht="15.75" customHeight="1" s="53">
      <c r="A103" s="50" t="inlineStr">
        <is>
          <t>2024-06</t>
        </is>
      </c>
      <c r="B103" s="50" t="inlineStr">
        <is>
          <t>Cogni Academy</t>
        </is>
      </c>
      <c r="C103" s="50" t="inlineStr">
        <is>
          <t>Validação</t>
        </is>
      </c>
      <c r="D103" s="51" t="n">
        <v>10618.11</v>
      </c>
      <c r="E103" s="50" t="n">
        <v>1</v>
      </c>
      <c r="F103" s="50" t="n">
        <v>54</v>
      </c>
      <c r="G103" s="50" t="n">
        <v>0</v>
      </c>
      <c r="H103" s="51" t="n">
        <v>18131.71</v>
      </c>
      <c r="I103" s="51" t="n">
        <v>-7513.6</v>
      </c>
      <c r="J103" s="52" t="n">
        <v>-0.7076</v>
      </c>
      <c r="K103" s="50" t="n">
        <v>6</v>
      </c>
    </row>
    <row r="104" ht="15.75" customHeight="1" s="53">
      <c r="A104" s="50" t="inlineStr">
        <is>
          <t>2024-06</t>
        </is>
      </c>
      <c r="B104" s="50" t="inlineStr">
        <is>
          <t>EduKids Brasil</t>
        </is>
      </c>
      <c r="C104" s="50" t="inlineStr">
        <is>
          <t>Validação</t>
        </is>
      </c>
      <c r="D104" s="51" t="n">
        <v>10579.92</v>
      </c>
      <c r="E104" s="50" t="n">
        <v>1</v>
      </c>
      <c r="F104" s="50" t="n">
        <v>39</v>
      </c>
      <c r="G104" s="50" t="n">
        <v>0</v>
      </c>
      <c r="H104" s="51" t="n">
        <v>17646.02</v>
      </c>
      <c r="I104" s="51" t="n">
        <v>-7066.1</v>
      </c>
      <c r="J104" s="52" t="n">
        <v>-0.6679</v>
      </c>
      <c r="K104" s="50" t="n">
        <v>6</v>
      </c>
    </row>
    <row r="105" ht="15.75" customHeight="1" s="53">
      <c r="A105" s="50" t="inlineStr">
        <is>
          <t>2024-06</t>
        </is>
      </c>
      <c r="B105" s="50" t="inlineStr">
        <is>
          <t>Smart Nutri</t>
        </is>
      </c>
      <c r="C105" s="50" t="inlineStr">
        <is>
          <t>Validação</t>
        </is>
      </c>
      <c r="D105" s="51" t="n">
        <v>10818.6</v>
      </c>
      <c r="E105" s="50" t="n">
        <v>1</v>
      </c>
      <c r="F105" s="50" t="n">
        <v>60</v>
      </c>
      <c r="G105" s="50" t="n">
        <v>0</v>
      </c>
      <c r="H105" s="51" t="n">
        <v>18959.51</v>
      </c>
      <c r="I105" s="51" t="n">
        <v>-8140.91</v>
      </c>
      <c r="J105" s="52" t="n">
        <v>-0.7524999999999999</v>
      </c>
      <c r="K105" s="50" t="n">
        <v>6</v>
      </c>
    </row>
    <row r="106" ht="15.75" customHeight="1" s="53">
      <c r="A106" s="50" t="inlineStr">
        <is>
          <t>2024-07</t>
        </is>
      </c>
      <c r="B106" s="50" t="inlineStr">
        <is>
          <t>Cogni Academy</t>
        </is>
      </c>
      <c r="C106" s="50" t="inlineStr">
        <is>
          <t>Validação</t>
        </is>
      </c>
      <c r="D106" s="51" t="n">
        <v>21747.14</v>
      </c>
      <c r="E106" s="50" t="n">
        <v>2</v>
      </c>
      <c r="F106" s="50" t="n">
        <v>86</v>
      </c>
      <c r="G106" s="50" t="n">
        <v>0</v>
      </c>
      <c r="H106" s="51" t="n">
        <v>19086.43</v>
      </c>
      <c r="I106" s="51" t="n">
        <v>2660.71</v>
      </c>
      <c r="J106" s="52" t="n">
        <v>0.1223</v>
      </c>
      <c r="K106" s="50" t="n">
        <v>7</v>
      </c>
    </row>
    <row r="107" ht="15.75" customHeight="1" s="53">
      <c r="A107" s="50" t="inlineStr">
        <is>
          <t>2024-07</t>
        </is>
      </c>
      <c r="B107" s="50" t="inlineStr">
        <is>
          <t>EduKids Brasil</t>
        </is>
      </c>
      <c r="C107" s="50" t="inlineStr">
        <is>
          <t>Validação</t>
        </is>
      </c>
      <c r="D107" s="51" t="n">
        <v>10332.36</v>
      </c>
      <c r="E107" s="50" t="n">
        <v>1</v>
      </c>
      <c r="F107" s="50" t="n">
        <v>46</v>
      </c>
      <c r="G107" s="50" t="n">
        <v>0</v>
      </c>
      <c r="H107" s="51" t="n">
        <v>18465.57</v>
      </c>
      <c r="I107" s="51" t="n">
        <v>-8133.21</v>
      </c>
      <c r="J107" s="52" t="n">
        <v>-0.7872</v>
      </c>
      <c r="K107" s="50" t="n">
        <v>7</v>
      </c>
    </row>
    <row r="108" ht="15.75" customHeight="1" s="53">
      <c r="A108" s="50" t="inlineStr">
        <is>
          <t>2024-07</t>
        </is>
      </c>
      <c r="B108" s="50" t="inlineStr">
        <is>
          <t>Smart Nutri</t>
        </is>
      </c>
      <c r="C108" s="50" t="inlineStr">
        <is>
          <t>Validação</t>
        </is>
      </c>
      <c r="D108" s="51" t="n">
        <v>10095.08</v>
      </c>
      <c r="E108" s="50" t="n">
        <v>1</v>
      </c>
      <c r="F108" s="50" t="n">
        <v>57</v>
      </c>
      <c r="G108" s="50" t="n">
        <v>0</v>
      </c>
      <c r="H108" s="51" t="n">
        <v>18348.91</v>
      </c>
      <c r="I108" s="51" t="n">
        <v>-8253.83</v>
      </c>
      <c r="J108" s="52" t="n">
        <v>-0.8176</v>
      </c>
      <c r="K108" s="50" t="n">
        <v>7</v>
      </c>
    </row>
    <row r="109" ht="15.75" customHeight="1" s="53">
      <c r="A109" s="50" t="inlineStr">
        <is>
          <t>2024-08</t>
        </is>
      </c>
      <c r="B109" s="50" t="inlineStr">
        <is>
          <t>Clínica da Cidade</t>
        </is>
      </c>
      <c r="C109" s="50" t="inlineStr">
        <is>
          <t>Validação</t>
        </is>
      </c>
      <c r="D109" s="51" t="n">
        <v>10814.18</v>
      </c>
      <c r="E109" s="50" t="n">
        <v>1</v>
      </c>
      <c r="F109" s="50" t="n">
        <v>59</v>
      </c>
      <c r="G109" s="50" t="n">
        <v>0</v>
      </c>
      <c r="H109" s="51" t="n">
        <v>18396.38</v>
      </c>
      <c r="I109" s="51" t="n">
        <v>-7582.2</v>
      </c>
      <c r="J109" s="52" t="n">
        <v>-0.7010999999999999</v>
      </c>
      <c r="K109" s="50" t="n">
        <v>8</v>
      </c>
    </row>
    <row r="110" ht="15.75" customHeight="1" s="53">
      <c r="A110" s="50" t="inlineStr">
        <is>
          <t>2024-08</t>
        </is>
      </c>
      <c r="B110" s="50" t="inlineStr">
        <is>
          <t>Cogni Academy</t>
        </is>
      </c>
      <c r="C110" s="50" t="inlineStr">
        <is>
          <t>Validação</t>
        </is>
      </c>
      <c r="D110" s="51" t="n">
        <v>10882.81</v>
      </c>
      <c r="E110" s="50" t="n">
        <v>1</v>
      </c>
      <c r="F110" s="50" t="n">
        <v>44</v>
      </c>
      <c r="G110" s="50" t="n">
        <v>0</v>
      </c>
      <c r="H110" s="51" t="n">
        <v>19079.92</v>
      </c>
      <c r="I110" s="51" t="n">
        <v>-8197.110000000001</v>
      </c>
      <c r="J110" s="52" t="n">
        <v>-0.7532</v>
      </c>
      <c r="K110" s="50" t="n">
        <v>8</v>
      </c>
      <c r="N110" s="46">
        <f>AVERAGE(J98:J123)</f>
        <v/>
      </c>
    </row>
    <row r="111" ht="15.75" customHeight="1" s="53">
      <c r="A111" s="50" t="inlineStr">
        <is>
          <t>2024-09</t>
        </is>
      </c>
      <c r="B111" s="50" t="inlineStr">
        <is>
          <t>Clínica da Cidade</t>
        </is>
      </c>
      <c r="C111" s="50" t="inlineStr">
        <is>
          <t>Validação</t>
        </is>
      </c>
      <c r="D111" s="51" t="n">
        <v>10112.33</v>
      </c>
      <c r="E111" s="50" t="n">
        <v>1</v>
      </c>
      <c r="F111" s="50" t="n">
        <v>52</v>
      </c>
      <c r="G111" s="50" t="n">
        <v>0</v>
      </c>
      <c r="H111" s="51" t="n">
        <v>19013.1</v>
      </c>
      <c r="I111" s="51" t="n">
        <v>-8900.77</v>
      </c>
      <c r="J111" s="52" t="n">
        <v>-0.8802</v>
      </c>
      <c r="K111" s="50" t="n">
        <v>9</v>
      </c>
    </row>
    <row r="112" ht="15.75" customHeight="1" s="53">
      <c r="A112" s="50" t="inlineStr">
        <is>
          <t>2024-09</t>
        </is>
      </c>
      <c r="B112" s="50" t="inlineStr">
        <is>
          <t>Cogni Academy</t>
        </is>
      </c>
      <c r="C112" s="50" t="inlineStr">
        <is>
          <t>Validação</t>
        </is>
      </c>
      <c r="D112" s="51" t="n">
        <v>10903.62</v>
      </c>
      <c r="E112" s="50" t="n">
        <v>1</v>
      </c>
      <c r="F112" s="50" t="n">
        <v>34</v>
      </c>
      <c r="G112" s="50" t="n">
        <v>0</v>
      </c>
      <c r="H112" s="51" t="n">
        <v>18155.65</v>
      </c>
      <c r="I112" s="51" t="n">
        <v>-7252.03</v>
      </c>
      <c r="J112" s="52" t="n">
        <v>-0.6651</v>
      </c>
      <c r="K112" s="50" t="n">
        <v>9</v>
      </c>
    </row>
    <row r="113" ht="15.75" customHeight="1" s="53">
      <c r="A113" s="50" t="inlineStr">
        <is>
          <t>2024-09</t>
        </is>
      </c>
      <c r="B113" s="50" t="inlineStr">
        <is>
          <t>EduKids Brasil</t>
        </is>
      </c>
      <c r="C113" s="50" t="inlineStr">
        <is>
          <t>Validação</t>
        </is>
      </c>
      <c r="D113" s="51" t="n">
        <v>21158.27</v>
      </c>
      <c r="E113" s="50" t="n">
        <v>2</v>
      </c>
      <c r="F113" s="50" t="n">
        <v>98</v>
      </c>
      <c r="G113" s="50" t="n">
        <v>0</v>
      </c>
      <c r="H113" s="51" t="n">
        <v>19579.93</v>
      </c>
      <c r="I113" s="51" t="n">
        <v>1578.34</v>
      </c>
      <c r="J113" s="52" t="n">
        <v>0.0746</v>
      </c>
      <c r="K113" s="50" t="n">
        <v>9</v>
      </c>
    </row>
    <row r="114" ht="15.75" customHeight="1" s="53">
      <c r="A114" s="50" t="inlineStr">
        <is>
          <t>2024-10</t>
        </is>
      </c>
      <c r="B114" s="50" t="inlineStr">
        <is>
          <t>Clínica da Cidade</t>
        </is>
      </c>
      <c r="C114" s="50" t="inlineStr">
        <is>
          <t>Validação</t>
        </is>
      </c>
      <c r="D114" s="51" t="n">
        <v>21233.24</v>
      </c>
      <c r="E114" s="50" t="n">
        <v>2</v>
      </c>
      <c r="F114" s="50" t="n">
        <v>117</v>
      </c>
      <c r="G114" s="50" t="n">
        <v>0</v>
      </c>
      <c r="H114" s="51" t="n">
        <v>19602.75</v>
      </c>
      <c r="I114" s="51" t="n">
        <v>1630.49</v>
      </c>
      <c r="J114" s="52" t="n">
        <v>0.07679999999999999</v>
      </c>
      <c r="K114" s="50" t="n">
        <v>10</v>
      </c>
    </row>
    <row r="115" ht="15.75" customHeight="1" s="53">
      <c r="A115" s="50" t="inlineStr">
        <is>
          <t>2024-10</t>
        </is>
      </c>
      <c r="B115" s="50" t="inlineStr">
        <is>
          <t>EduKids Brasil</t>
        </is>
      </c>
      <c r="C115" s="50" t="inlineStr">
        <is>
          <t>Validação</t>
        </is>
      </c>
      <c r="D115" s="51" t="n">
        <v>10671.08</v>
      </c>
      <c r="E115" s="50" t="n">
        <v>1</v>
      </c>
      <c r="F115" s="50" t="n">
        <v>39</v>
      </c>
      <c r="G115" s="50" t="n">
        <v>0</v>
      </c>
      <c r="H115" s="51" t="n">
        <v>19140.12</v>
      </c>
      <c r="I115" s="51" t="n">
        <v>-8469.040000000001</v>
      </c>
      <c r="J115" s="52" t="n">
        <v>-0.7936</v>
      </c>
      <c r="K115" s="50" t="n">
        <v>10</v>
      </c>
    </row>
    <row r="116" ht="15.75" customHeight="1" s="53">
      <c r="A116" s="50" t="inlineStr">
        <is>
          <t>2024-11</t>
        </is>
      </c>
      <c r="B116" s="50" t="inlineStr">
        <is>
          <t>Clínica da Cidade</t>
        </is>
      </c>
      <c r="C116" s="50" t="inlineStr">
        <is>
          <t>Validação</t>
        </is>
      </c>
      <c r="D116" s="51" t="n">
        <v>10841.93</v>
      </c>
      <c r="E116" s="50" t="n">
        <v>1</v>
      </c>
      <c r="F116" s="50" t="n">
        <v>57</v>
      </c>
      <c r="G116" s="50" t="n">
        <v>0</v>
      </c>
      <c r="H116" s="51" t="n">
        <v>19476.21</v>
      </c>
      <c r="I116" s="51" t="n">
        <v>-8634.280000000001</v>
      </c>
      <c r="J116" s="52" t="n">
        <v>-0.7964</v>
      </c>
      <c r="K116" s="50" t="n">
        <v>11</v>
      </c>
    </row>
    <row r="117" ht="15.75" customHeight="1" s="53">
      <c r="A117" s="50" t="inlineStr">
        <is>
          <t>2024-11</t>
        </is>
      </c>
      <c r="B117" s="50" t="inlineStr">
        <is>
          <t>Cogni Academy</t>
        </is>
      </c>
      <c r="C117" s="50" t="inlineStr">
        <is>
          <t>Validação</t>
        </is>
      </c>
      <c r="D117" s="51" t="n">
        <v>10320.29</v>
      </c>
      <c r="E117" s="50" t="n">
        <v>1</v>
      </c>
      <c r="F117" s="50" t="n">
        <v>51</v>
      </c>
      <c r="G117" s="50" t="n">
        <v>0</v>
      </c>
      <c r="H117" s="51" t="n">
        <v>18408.33</v>
      </c>
      <c r="I117" s="51" t="n">
        <v>-8088.04</v>
      </c>
      <c r="J117" s="52" t="n">
        <v>-0.7837</v>
      </c>
      <c r="K117" s="50" t="n">
        <v>11</v>
      </c>
    </row>
    <row r="118" ht="15.75" customHeight="1" s="53">
      <c r="A118" s="50" t="inlineStr">
        <is>
          <t>2024-11</t>
        </is>
      </c>
      <c r="B118" s="50" t="inlineStr">
        <is>
          <t>EduKids Brasil</t>
        </is>
      </c>
      <c r="C118" s="50" t="inlineStr">
        <is>
          <t>Validação</t>
        </is>
      </c>
      <c r="D118" s="51" t="n">
        <v>10887.5</v>
      </c>
      <c r="E118" s="50" t="n">
        <v>1</v>
      </c>
      <c r="F118" s="50" t="n">
        <v>59</v>
      </c>
      <c r="G118" s="50" t="n">
        <v>0</v>
      </c>
      <c r="H118" s="51" t="n">
        <v>19466.21</v>
      </c>
      <c r="I118" s="51" t="n">
        <v>-8578.709999999999</v>
      </c>
      <c r="J118" s="52" t="n">
        <v>-0.7879</v>
      </c>
      <c r="K118" s="50" t="n">
        <v>11</v>
      </c>
    </row>
    <row r="119" ht="15.75" customHeight="1" s="53">
      <c r="A119" s="50" t="inlineStr">
        <is>
          <t>2024-11</t>
        </is>
      </c>
      <c r="B119" s="50" t="inlineStr">
        <is>
          <t>Smart Nutri</t>
        </is>
      </c>
      <c r="C119" s="50" t="inlineStr">
        <is>
          <t>Validação</t>
        </is>
      </c>
      <c r="D119" s="51" t="n">
        <v>10146.32</v>
      </c>
      <c r="E119" s="50" t="n">
        <v>1</v>
      </c>
      <c r="F119" s="50" t="n">
        <v>53</v>
      </c>
      <c r="G119" s="50" t="n">
        <v>0</v>
      </c>
      <c r="H119" s="51" t="n">
        <v>16801.61</v>
      </c>
      <c r="I119" s="51" t="n">
        <v>-6655.29</v>
      </c>
      <c r="J119" s="52" t="n">
        <v>-0.6559</v>
      </c>
      <c r="K119" s="50" t="n">
        <v>11</v>
      </c>
    </row>
    <row r="120" ht="15.75" customHeight="1" s="53">
      <c r="A120" s="50" t="inlineStr">
        <is>
          <t>2024-12</t>
        </is>
      </c>
      <c r="B120" s="50" t="inlineStr">
        <is>
          <t>Clínica da Cidade</t>
        </is>
      </c>
      <c r="C120" s="50" t="inlineStr">
        <is>
          <t>Validação</t>
        </is>
      </c>
      <c r="D120" s="51" t="n">
        <v>10660.17</v>
      </c>
      <c r="E120" s="50" t="n">
        <v>1</v>
      </c>
      <c r="F120" s="50" t="n">
        <v>42</v>
      </c>
      <c r="G120" s="50" t="n">
        <v>0</v>
      </c>
      <c r="H120" s="51" t="n">
        <v>18063.92</v>
      </c>
      <c r="I120" s="51" t="n">
        <v>-7403.75</v>
      </c>
      <c r="J120" s="52" t="n">
        <v>-0.6945</v>
      </c>
      <c r="K120" s="50" t="n">
        <v>12</v>
      </c>
    </row>
    <row r="121" ht="15.75" customHeight="1" s="53">
      <c r="A121" s="50" t="inlineStr">
        <is>
          <t>2024-12</t>
        </is>
      </c>
      <c r="B121" s="50" t="inlineStr">
        <is>
          <t>Cogni Academy</t>
        </is>
      </c>
      <c r="C121" s="50" t="inlineStr">
        <is>
          <t>Validação</t>
        </is>
      </c>
      <c r="D121" s="51" t="n">
        <v>10568.7</v>
      </c>
      <c r="E121" s="50" t="n">
        <v>1</v>
      </c>
      <c r="F121" s="50" t="n">
        <v>48</v>
      </c>
      <c r="G121" s="50" t="n">
        <v>0</v>
      </c>
      <c r="H121" s="51" t="n">
        <v>19042.26</v>
      </c>
      <c r="I121" s="51" t="n">
        <v>-8473.559999999999</v>
      </c>
      <c r="J121" s="52" t="n">
        <v>-0.8018</v>
      </c>
      <c r="K121" s="50" t="n">
        <v>12</v>
      </c>
    </row>
    <row r="122" ht="15.75" customHeight="1" s="53">
      <c r="A122" s="50" t="inlineStr">
        <is>
          <t>2024-12</t>
        </is>
      </c>
      <c r="B122" s="50" t="inlineStr">
        <is>
          <t>EduKids Brasil</t>
        </is>
      </c>
      <c r="C122" s="50" t="inlineStr">
        <is>
          <t>Validação</t>
        </is>
      </c>
      <c r="D122" s="51" t="n">
        <v>10375.06</v>
      </c>
      <c r="E122" s="50" t="n">
        <v>1</v>
      </c>
      <c r="F122" s="50" t="n">
        <v>49</v>
      </c>
      <c r="G122" s="50" t="n">
        <v>0</v>
      </c>
      <c r="H122" s="51" t="n">
        <v>18757.59</v>
      </c>
      <c r="I122" s="51" t="n">
        <v>-8382.530000000001</v>
      </c>
      <c r="J122" s="52" t="n">
        <v>-0.8080000000000001</v>
      </c>
      <c r="K122" s="50" t="n">
        <v>12</v>
      </c>
    </row>
    <row r="123" ht="15.75" customHeight="1" s="53">
      <c r="A123" s="50" t="inlineStr">
        <is>
          <t>2024-12</t>
        </is>
      </c>
      <c r="B123" s="50" t="inlineStr">
        <is>
          <t>Smart Nutri</t>
        </is>
      </c>
      <c r="C123" s="50" t="inlineStr">
        <is>
          <t>Validação</t>
        </is>
      </c>
      <c r="D123" s="51" t="n">
        <v>10456.12</v>
      </c>
      <c r="E123" s="50" t="n">
        <v>1</v>
      </c>
      <c r="F123" s="50" t="n">
        <v>39</v>
      </c>
      <c r="G123" s="50" t="n">
        <v>0</v>
      </c>
      <c r="H123" s="51" t="n">
        <v>19217.87</v>
      </c>
      <c r="I123" s="51" t="n">
        <v>-8761.75</v>
      </c>
      <c r="J123" s="52" t="n">
        <v>-0.838</v>
      </c>
      <c r="K123" s="50" t="n">
        <v>12</v>
      </c>
    </row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2026-05-20T02:47:10Z</dcterms:created>
  <dcterms:modified xsi:type="dcterms:W3CDTF">2026-06-12T21:09:44Z</dcterms:modified>
</cp:coreProperties>
</file>