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_Resumo" sheetId="1" r:id="rId4"/>
    <sheet state="visible" name="1_Base_Mensal_v4" sheetId="2" r:id="rId5"/>
    <sheet state="visible" name="2_Premissas_v4" sheetId="3" r:id="rId6"/>
    <sheet state="visible" name="3_Resultados_v4" sheetId="4" r:id="rId7"/>
    <sheet state="visible" name="Planilha3" sheetId="5" r:id="rId8"/>
    <sheet state="visible" name="Planilha1" sheetId="6" r:id="rId9"/>
    <sheet state="visible" name="4_Base_Regressao" sheetId="7" r:id="rId10"/>
    <sheet state="visible" name="Planilha2" sheetId="8" r:id="rId11"/>
    <sheet state="visible" name="Planilha11" sheetId="9" r:id="rId12"/>
    <sheet state="visible" name="Planilha17" sheetId="10" r:id="rId13"/>
    <sheet state="visible" name="REG_VAL" sheetId="11" r:id="rId14"/>
  </sheets>
  <definedNames>
    <definedName hidden="1" localSheetId="1" name="_xlnm._FilterDatabase">'1_Base_Mensal_v4'!$A$2:$AE$125</definedName>
  </definedNames>
  <calcPr/>
  <extLst>
    <ext uri="GoogleSheetsCustomDataVersion2">
      <go:sheetsCustomData xmlns:go="http://customooxmlschemas.google.com/" r:id="rId15" roundtripDataChecksum="avdZKgmcm7ix1oHIz09OEm1PvtDz2O2uyMqfZoacx1w="/>
    </ext>
  </extLst>
</workbook>
</file>

<file path=xl/sharedStrings.xml><?xml version="1.0" encoding="utf-8"?>
<sst xmlns="http://schemas.openxmlformats.org/spreadsheetml/2006/main" count="1672" uniqueCount="188">
  <si>
    <t>RESULTADO CONSOLIDADO (12 meses) — v4</t>
  </si>
  <si>
    <t>Serviço</t>
  </si>
  <si>
    <t>Receita Total</t>
  </si>
  <si>
    <t>Total Custos</t>
  </si>
  <si>
    <t>Margem R$</t>
  </si>
  <si>
    <t>Margem %</t>
  </si>
  <si>
    <t>Preço ideal 30%</t>
  </si>
  <si>
    <t>Expansão</t>
  </si>
  <si>
    <t>Formatação</t>
  </si>
  <si>
    <t>Validação</t>
  </si>
  <si>
    <t>TOTAL</t>
  </si>
  <si>
    <t>—</t>
  </si>
  <si>
    <t>IDENTIFICAÇÃO</t>
  </si>
  <si>
    <t>RECEITA</t>
  </si>
  <si>
    <t>HORAS</t>
  </si>
  <si>
    <t>CUSTOS PESSOAL</t>
  </si>
  <si>
    <t>CUSTOS OPERACIONAIS</t>
  </si>
  <si>
    <t>RESULTADO</t>
  </si>
  <si>
    <t>Mês</t>
  </si>
  <si>
    <t>Franquia</t>
  </si>
  <si>
    <t>Preço Unit.</t>
  </si>
  <si>
    <t>Qtd</t>
  </si>
  <si>
    <t>Receita</t>
  </si>
  <si>
    <t>H_SDR</t>
  </si>
  <si>
    <t>H_Vend</t>
  </si>
  <si>
    <t>H_Cons</t>
  </si>
  <si>
    <t>H_GP</t>
  </si>
  <si>
    <t>H_Adv</t>
  </si>
  <si>
    <t>C_SDR</t>
  </si>
  <si>
    <t>C_Vend</t>
  </si>
  <si>
    <t>C_Cons</t>
  </si>
  <si>
    <t>C_CEO</t>
  </si>
  <si>
    <t>C_Ext</t>
  </si>
  <si>
    <t>C_CAC</t>
  </si>
  <si>
    <t>C_Agenc</t>
  </si>
  <si>
    <t>C_Jur</t>
  </si>
  <si>
    <t>C_Contab</t>
  </si>
  <si>
    <t>C_GP</t>
  </si>
  <si>
    <t>C_Tec</t>
  </si>
  <si>
    <t>C_Mkt</t>
  </si>
  <si>
    <t>C_Tel</t>
  </si>
  <si>
    <t>C_Desl</t>
  </si>
  <si>
    <t>C_Trein</t>
  </si>
  <si>
    <t>C_Imp</t>
  </si>
  <si>
    <t>C_Com</t>
  </si>
  <si>
    <t>2024-01</t>
  </si>
  <si>
    <t>Cogni Academy</t>
  </si>
  <si>
    <t>-</t>
  </si>
  <si>
    <t>Clínica da Cidade</t>
  </si>
  <si>
    <t>Smart Nutri</t>
  </si>
  <si>
    <t>EduKids Brasil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</si>
  <si>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</si>
  <si>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</si>
  <si>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</si>
  <si>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</si>
  <si>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</si>
  <si>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</si>
  <si>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</si>
  <si>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</si>
  <si>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</si>
  <si>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</si>
  <si>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</si>
  <si>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PREMISSAS VIGENTES — v4</t>
  </si>
  <si>
    <t>Parâmetro</t>
  </si>
  <si>
    <t>Valor</t>
  </si>
  <si>
    <t>Horas úteis/mês</t>
  </si>
  <si>
    <t>176</t>
  </si>
  <si>
    <t>Salário Consultor PJ (Format.+Valid.)</t>
  </si>
  <si>
    <t>12500</t>
  </si>
  <si>
    <t>% horas consultor → Formatação</t>
  </si>
  <si>
    <t>75%</t>
  </si>
  <si>
    <t>% horas consultor → Validação</t>
  </si>
  <si>
    <t>25%</t>
  </si>
  <si>
    <t>Custo/hora consultor</t>
  </si>
  <si>
    <t>R$ 71,02/h</t>
  </si>
  <si>
    <t>Custo/hora advogado PJ</t>
  </si>
  <si>
    <t>R$ 220,00/h</t>
  </si>
  <si>
    <t>Salário GP (fixo mensal, só Valid.)</t>
  </si>
  <si>
    <t>R$ 3.000</t>
  </si>
  <si>
    <t>Contabilidade mensal (Format.+Valid.)</t>
  </si>
  <si>
    <t>R$ 2.774</t>
  </si>
  <si>
    <t>Contabilidade → Formatação (75%)</t>
  </si>
  <si>
    <t>R$ 2.080/mês</t>
  </si>
  <si>
    <t>Contabilidade → Validação (25%)</t>
  </si>
  <si>
    <t>R$ 694/mês</t>
  </si>
  <si>
    <t>CAC FORMATAÇÃO POR TIER</t>
  </si>
  <si>
    <t>Tier R$34.500</t>
  </si>
  <si>
    <t>R$ 5.098/contrato</t>
  </si>
  <si>
    <t>Tier R$69.000</t>
  </si>
  <si>
    <t>R$ 6.098/contrato</t>
  </si>
  <si>
    <t>Tier R$103.500</t>
  </si>
  <si>
    <t>R$ 7.098/contrato</t>
  </si>
  <si>
    <t>HORAS ADVOGADO POR TIER (Formatação)</t>
  </si>
  <si>
    <t>8 a 12h/contrato</t>
  </si>
  <si>
    <t>15 a 20h/contrato</t>
  </si>
  <si>
    <t>25 a 35h/contrato</t>
  </si>
  <si>
    <t>VALIDAÇÃO — AJUSTES v4</t>
  </si>
  <si>
    <t>Custo SDR</t>
  </si>
  <si>
    <t>R$ 0 (sem SDR nessa fase)</t>
  </si>
  <si>
    <t>Horas GP por contrato</t>
  </si>
  <si>
    <t>5h a 30h (driver de complexidade)</t>
  </si>
  <si>
    <t>GP entra na regressão?</t>
  </si>
  <si>
    <t>Não — custo fixo rateado</t>
  </si>
  <si>
    <t>Alíquota imposto</t>
  </si>
  <si>
    <t>6,0%</t>
  </si>
  <si>
    <t>Comissão vendas</t>
  </si>
  <si>
    <t>5,0%</t>
  </si>
  <si>
    <t>RESULTADOS DOS MODELOS DE REGRESSÃO — v4</t>
  </si>
  <si>
    <t>R²</t>
  </si>
  <si>
    <t>R²aj</t>
  </si>
  <si>
    <t>F (p-val)</t>
  </si>
  <si>
    <t>MAE (R$)</t>
  </si>
  <si>
    <t>Custo/contrato</t>
  </si>
  <si>
    <t>Breakeven</t>
  </si>
  <si>
    <t>0.098</t>
  </si>
  <si>
    <t>0.037</t>
  </si>
  <si>
    <t>1.6 (p=0.2033)</t>
  </si>
  <si>
    <t>R$1,071</t>
  </si>
  <si>
    <t>R$2,683</t>
  </si>
  <si>
    <t>R$3,833</t>
  </si>
  <si>
    <t>0.951</t>
  </si>
  <si>
    <t>0.947</t>
  </si>
  <si>
    <t>282.4 (p=0.0000)</t>
  </si>
  <si>
    <t>R$889</t>
  </si>
  <si>
    <t>R$30,617</t>
  </si>
  <si>
    <t>R$43,739</t>
  </si>
  <si>
    <t>0.208</t>
  </si>
  <si>
    <t>0.100</t>
  </si>
  <si>
    <t>1.9 (p=0.1550)</t>
  </si>
  <si>
    <t>R$437</t>
  </si>
  <si>
    <t>R$10,646</t>
  </si>
  <si>
    <t>R$15,209</t>
  </si>
  <si>
    <t>COEFICIENTES β — MODELO 1 (Y = Custo Total)</t>
  </si>
  <si>
    <t>Variável</t>
  </si>
  <si>
    <t>β</t>
  </si>
  <si>
    <t>p-valor</t>
  </si>
  <si>
    <t>Sig.</t>
  </si>
  <si>
    <t>Elasticidade</t>
  </si>
  <si>
    <t>const</t>
  </si>
  <si>
    <t>**</t>
  </si>
  <si>
    <t>Qtd_Contratos</t>
  </si>
  <si>
    <t>ns</t>
  </si>
  <si>
    <t>H_Total</t>
  </si>
  <si>
    <t>Num_Mes</t>
  </si>
  <si>
    <t>***</t>
  </si>
  <si>
    <t>*</t>
  </si>
  <si>
    <t>H_Advogado</t>
  </si>
  <si>
    <t>Tipo_Servico</t>
  </si>
  <si>
    <t>Receita_Total</t>
  </si>
  <si>
    <t>Total_Custos</t>
  </si>
  <si>
    <t>Margem_RS</t>
  </si>
  <si>
    <t>Margem_PCT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</si>
  <si>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</si>
  <si>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</si>
  <si>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</si>
  <si>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</si>
  <si>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</si>
  <si>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</si>
  <si>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</si>
  <si>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</si>
  <si>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gl</t>
  </si>
  <si>
    <t>SQ</t>
  </si>
  <si>
    <t>MQ</t>
  </si>
  <si>
    <t>F</t>
  </si>
  <si>
    <t>F de significação</t>
  </si>
  <si>
    <t>Regressão</t>
  </si>
  <si>
    <t>Resíduo</t>
  </si>
  <si>
    <t>Total</t>
  </si>
  <si>
    <t>Coeficientes</t>
  </si>
  <si>
    <t>Stat t</t>
  </si>
  <si>
    <t>valor-P</t>
  </si>
  <si>
    <t>95% inferiores</t>
  </si>
  <si>
    <t>95% superiores</t>
  </si>
  <si>
    <t>Inferior 90,0%</t>
  </si>
  <si>
    <t>Superior 90,0%</t>
  </si>
  <si>
    <t>Interseção</t>
  </si>
  <si>
    <t>QTD_Contratos</t>
  </si>
  <si>
    <t>H_total</t>
  </si>
  <si>
    <t>RESULTADOS DE RESÍDUOS</t>
  </si>
  <si>
    <t>Observação</t>
  </si>
  <si>
    <t>Previsto(a) Tot_Custos</t>
  </si>
  <si>
    <t>Resíduos</t>
  </si>
  <si>
    <t>Resíduos padrão</t>
  </si>
  <si>
    <t>Tot_horas</t>
  </si>
  <si>
    <t>Previsto(a) Total Custos</t>
  </si>
  <si>
    <t>Tot_Custos</t>
  </si>
  <si>
    <t>Margem_R$</t>
  </si>
  <si>
    <t>NUM_MÊS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</si>
</sst>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;\(#,##0\);\-"/>
    <numFmt numFmtId="165" formatCode="0.0%;\(0.0%\);\-"/>
    <numFmt numFmtId="166" formatCode="#,##0;\(#,##0\)"/>
    <numFmt numFmtId="167" formatCode="#,##0.00;\(#,##0.00\);\-"/>
    <numFmt numFmtId="168" formatCode="_-&quot;R$&quot;\ * #,##0.00_-;\-&quot;R$&quot;\ * #,##0.00_-;_-&quot;R$&quot;\ * &quot;-&quot;??_-;_-@"/>
    <numFmt numFmtId="169" formatCode="_-* #,##0.0_-;\-* #,##0.0_-;_-* &quot;-&quot;??_-;_-@"/>
    <numFmt numFmtId="170" formatCode="0.000%"/>
  </numFmts>
  <fonts count="16">
    <font>
      <sz val="11.0"/>
      <color theme="1"/>
      <name val="Calibri"/>
      <scheme val="minor"/>
    </font>
    <font>
      <b/>
      <sz val="10.0"/>
      <color rgb="FFFFFFFF"/>
      <name val="Arial"/>
    </font>
    <font/>
    <font>
      <sz val="10.0"/>
      <color rgb="FF000000"/>
      <name val="Arial"/>
    </font>
    <font>
      <b/>
      <sz val="10.0"/>
      <color rgb="FFC00000"/>
      <name val="Arial"/>
    </font>
    <font>
      <sz val="10.0"/>
      <color rgb="FF0000FF"/>
      <name val="Arial"/>
    </font>
    <font>
      <sz val="10.0"/>
      <color theme="1"/>
      <name val="Arial"/>
    </font>
    <font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0.0"/>
      <color rgb="FF2E75B6"/>
      <name val="Arial"/>
    </font>
    <font>
      <sz val="10.0"/>
      <color rgb="FF1D6A38"/>
      <name val="Arial"/>
    </font>
    <font>
      <i/>
      <sz val="11.0"/>
      <color theme="1"/>
      <name val="Calibri"/>
    </font>
    <font>
      <sz val="11.0"/>
      <color theme="1"/>
      <name val="Calibri"/>
    </font>
    <font>
      <b/>
      <sz val="11.0"/>
      <color rgb="FF1F1F1F"/>
      <name val="Arial"/>
    </font>
    <font>
      <sz val="11.0"/>
      <color rgb="FF1F1F1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1D6A38"/>
        <bgColor rgb="FF1D6A38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16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 style="medium">
        <color rgb="FFBFBFBF"/>
      </right>
      <top style="medium">
        <color rgb="FFBFBFBF"/>
      </top>
      <bottom style="medium">
        <color rgb="FFBFBFBF"/>
      </bottom>
    </border>
    <border>
      <left/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4" fillId="4" fontId="3" numFmtId="164" xfId="0" applyAlignment="1" applyBorder="1" applyFont="1" applyNumberFormat="1">
      <alignment horizontal="center" shrinkToFit="0" vertical="center" wrapText="1"/>
    </xf>
    <xf borderId="4" fillId="4" fontId="3" numFmtId="165" xfId="0" applyAlignment="1" applyBorder="1" applyFont="1" applyNumberForma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5" fontId="3" numFmtId="164" xfId="0" applyAlignment="1" applyBorder="1" applyFont="1" applyNumberFormat="1">
      <alignment horizontal="center" shrinkToFit="0" vertical="center" wrapText="1"/>
    </xf>
    <xf borderId="4" fillId="5" fontId="3" numFmtId="165" xfId="0" applyAlignment="1" applyBorder="1" applyFont="1" applyNumberForma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6" fontId="3" numFmtId="164" xfId="0" applyAlignment="1" applyBorder="1" applyFont="1" applyNumberFormat="1">
      <alignment horizontal="center" shrinkToFit="0" vertical="center" wrapText="1"/>
    </xf>
    <xf borderId="4" fillId="6" fontId="4" numFmtId="165" xfId="0" applyAlignment="1" applyBorder="1" applyFont="1" applyNumberFormat="1">
      <alignment horizontal="center" shrinkToFit="0" vertical="center" wrapText="1"/>
    </xf>
    <xf borderId="4" fillId="7" fontId="1" numFmtId="0" xfId="0" applyAlignment="1" applyBorder="1" applyFill="1" applyFont="1">
      <alignment horizontal="center" shrinkToFit="0" vertical="center" wrapText="1"/>
    </xf>
    <xf borderId="4" fillId="7" fontId="1" numFmtId="164" xfId="0" applyAlignment="1" applyBorder="1" applyFont="1" applyNumberFormat="1">
      <alignment horizontal="center" shrinkToFit="0" vertical="center" wrapText="1"/>
    </xf>
    <xf borderId="4" fillId="7" fontId="1" numFmtId="165" xfId="0" applyAlignment="1" applyBorder="1" applyFont="1" applyNumberFormat="1">
      <alignment horizontal="center" shrinkToFit="0" vertical="center" wrapText="1"/>
    </xf>
    <xf borderId="4" fillId="4" fontId="5" numFmtId="164" xfId="0" applyAlignment="1" applyBorder="1" applyFont="1" applyNumberForma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4" fillId="5" fontId="5" numFmtId="164" xfId="0" applyAlignment="1" applyBorder="1" applyFont="1" applyNumberForma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6" fillId="5" fontId="6" numFmtId="3" xfId="0" applyAlignment="1" applyBorder="1" applyFont="1" applyNumberFormat="1">
      <alignment horizontal="center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4" fillId="6" fontId="5" numFmtId="164" xfId="0" applyAlignment="1" applyBorder="1" applyFont="1" applyNumberForma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6" fillId="6" fontId="6" numFmtId="3" xfId="0" applyAlignment="1" applyBorder="1" applyFont="1" applyNumberFormat="1">
      <alignment horizontal="center" shrinkToFit="0" vertical="center" wrapText="1"/>
    </xf>
    <xf borderId="4" fillId="5" fontId="7" numFmtId="166" xfId="0" applyAlignment="1" applyBorder="1" applyFont="1" applyNumberFormat="1">
      <alignment horizontal="center" shrinkToFit="0" wrapText="1"/>
    </xf>
    <xf borderId="4" fillId="6" fontId="8" numFmtId="165" xfId="0" applyAlignment="1" applyBorder="1" applyFont="1" applyNumberFormat="1">
      <alignment horizontal="center" shrinkToFit="0" vertical="center" wrapText="1"/>
    </xf>
    <xf borderId="4" fillId="8" fontId="7" numFmtId="166" xfId="0" applyAlignment="1" applyBorder="1" applyFill="1" applyFont="1" applyNumberFormat="1">
      <alignment horizontal="center" shrinkToFit="0" wrapText="1"/>
    </xf>
    <xf borderId="5" fillId="4" fontId="6" numFmtId="0" xfId="0" applyAlignment="1" applyBorder="1" applyFont="1">
      <alignment shrinkToFit="0" vertical="center" wrapText="1"/>
    </xf>
    <xf borderId="6" fillId="4" fontId="6" numFmtId="0" xfId="0" applyAlignment="1" applyBorder="1" applyFont="1">
      <alignment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4" fillId="2" fontId="1" numFmtId="164" xfId="0" applyAlignment="1" applyBorder="1" applyFont="1" applyNumberFormat="1">
      <alignment horizontal="center" shrinkToFit="0" vertical="center" wrapText="1"/>
    </xf>
    <xf borderId="4" fillId="2" fontId="1" numFmtId="165" xfId="0" applyAlignment="1" applyBorder="1" applyFont="1" applyNumberFormat="1">
      <alignment horizontal="center" shrinkToFit="0" vertical="center" wrapText="1"/>
    </xf>
    <xf borderId="0" fillId="0" fontId="9" numFmtId="0" xfId="0" applyFont="1"/>
    <xf borderId="4" fillId="9" fontId="3" numFmtId="0" xfId="0" applyAlignment="1" applyBorder="1" applyFill="1" applyFont="1">
      <alignment horizontal="left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3" numFmtId="0" xfId="0" applyAlignment="1" applyBorder="1" applyFill="1" applyFont="1">
      <alignment horizontal="left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5" fillId="4" fontId="6" numFmtId="3" xfId="0" applyAlignment="1" applyBorder="1" applyFont="1" applyNumberFormat="1">
      <alignment horizontal="center" shrinkToFit="0" vertical="center" wrapText="1"/>
    </xf>
    <xf borderId="7" fillId="4" fontId="6" numFmtId="0" xfId="0" applyAlignment="1" applyBorder="1" applyFont="1">
      <alignment horizontal="center" shrinkToFit="0" vertical="center" wrapText="1"/>
    </xf>
    <xf borderId="7" fillId="4" fontId="6" numFmtId="3" xfId="0" applyAlignment="1" applyBorder="1" applyFont="1" applyNumberFormat="1">
      <alignment horizontal="center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8" fillId="4" fontId="6" numFmtId="3" xfId="0" applyAlignment="1" applyBorder="1" applyFont="1" applyNumberFormat="1">
      <alignment horizontal="center" shrinkToFit="0" vertical="center" wrapText="1"/>
    </xf>
    <xf borderId="6" fillId="4" fontId="6" numFmtId="3" xfId="0" applyAlignment="1" applyBorder="1" applyFont="1" applyNumberFormat="1">
      <alignment horizontal="center" shrinkToFit="0" vertical="center" wrapText="1"/>
    </xf>
    <xf borderId="4" fillId="6" fontId="3" numFmtId="167" xfId="0" applyAlignment="1" applyBorder="1" applyFont="1" applyNumberFormat="1">
      <alignment horizontal="center" shrinkToFit="0" vertical="center" wrapText="1"/>
    </xf>
    <xf borderId="9" fillId="0" fontId="12" numFmtId="0" xfId="0" applyAlignment="1" applyBorder="1" applyFont="1">
      <alignment horizontal="center"/>
    </xf>
    <xf borderId="9" fillId="0" fontId="2" numFmtId="0" xfId="0" applyBorder="1" applyFont="1"/>
    <xf borderId="0" fillId="0" fontId="13" numFmtId="0" xfId="0" applyFont="1"/>
    <xf borderId="10" fillId="0" fontId="13" numFmtId="0" xfId="0" applyBorder="1" applyFont="1"/>
    <xf borderId="0" fillId="0" fontId="6" numFmtId="10" xfId="0" applyFont="1" applyNumberFormat="1"/>
    <xf borderId="0" fillId="0" fontId="6" numFmtId="168" xfId="0" applyFont="1" applyNumberFormat="1"/>
    <xf borderId="0" fillId="0" fontId="6" numFmtId="9" xfId="0" applyFont="1" applyNumberFormat="1"/>
    <xf borderId="10" fillId="0" fontId="6" numFmtId="168" xfId="0" applyBorder="1" applyFont="1" applyNumberFormat="1"/>
    <xf borderId="10" fillId="0" fontId="6" numFmtId="9" xfId="0" applyBorder="1" applyFont="1" applyNumberFormat="1"/>
    <xf borderId="0" fillId="0" fontId="6" numFmtId="169" xfId="0" applyFont="1" applyNumberFormat="1"/>
    <xf borderId="10" fillId="0" fontId="6" numFmtId="169" xfId="0" applyBorder="1" applyFont="1" applyNumberFormat="1"/>
    <xf borderId="0" fillId="0" fontId="6" numFmtId="170" xfId="0" applyFont="1" applyNumberFormat="1"/>
    <xf borderId="10" fillId="0" fontId="6" numFmtId="10" xfId="0" applyBorder="1" applyFont="1" applyNumberFormat="1"/>
    <xf borderId="0" fillId="0" fontId="13" numFmtId="168" xfId="0" applyFont="1" applyNumberFormat="1"/>
    <xf borderId="5" fillId="3" fontId="1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horizontal="left" readingOrder="1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6" fillId="4" fontId="13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left" readingOrder="1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6" fillId="5" fontId="13" numFmtId="0" xfId="0" applyAlignment="1" applyBorder="1" applyFont="1">
      <alignment horizontal="center" shrinkToFit="0" vertical="center" wrapText="1"/>
    </xf>
    <xf borderId="6" fillId="6" fontId="5" numFmtId="0" xfId="0" applyAlignment="1" applyBorder="1" applyFont="1">
      <alignment horizontal="center" shrinkToFit="0" vertical="center" wrapText="1"/>
    </xf>
    <xf borderId="6" fillId="6" fontId="13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/>
    </xf>
    <xf borderId="12" fillId="0" fontId="13" numFmtId="0" xfId="0" applyAlignment="1" applyBorder="1" applyFont="1">
      <alignment shrinkToFit="0" wrapText="1"/>
    </xf>
    <xf borderId="12" fillId="0" fontId="13" numFmtId="0" xfId="0" applyAlignment="1" applyBorder="1" applyFont="1">
      <alignment horizontal="right" shrinkToFit="0" wrapText="1"/>
    </xf>
    <xf borderId="12" fillId="0" fontId="13" numFmtId="3" xfId="0" applyAlignment="1" applyBorder="1" applyFont="1" applyNumberFormat="1">
      <alignment horizontal="right" shrinkToFit="0" wrapText="1"/>
    </xf>
    <xf borderId="12" fillId="0" fontId="13" numFmtId="10" xfId="0" applyAlignment="1" applyBorder="1" applyFont="1" applyNumberFormat="1">
      <alignment horizontal="right" shrinkToFit="0" wrapText="1"/>
    </xf>
    <xf borderId="8" fillId="3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13" fillId="3" fontId="1" numFmtId="0" xfId="0" applyAlignment="1" applyBorder="1" applyFont="1">
      <alignment horizontal="center" shrinkToFit="0" vertical="center" wrapText="1"/>
    </xf>
    <xf borderId="8" fillId="6" fontId="5" numFmtId="0" xfId="0" applyAlignment="1" applyBorder="1" applyFont="1">
      <alignment horizontal="center" shrinkToFit="0" vertical="center" wrapText="1"/>
    </xf>
    <xf borderId="8" fillId="6" fontId="6" numFmtId="0" xfId="0" applyAlignment="1" applyBorder="1" applyFont="1">
      <alignment horizontal="center" shrinkToFit="0" vertical="center" wrapText="1"/>
    </xf>
    <xf borderId="6" fillId="6" fontId="6" numFmtId="0" xfId="0" applyAlignment="1" applyBorder="1" applyFont="1">
      <alignment horizontal="center" shrinkToFit="0" vertical="center" wrapText="1"/>
    </xf>
    <xf borderId="14" fillId="6" fontId="6" numFmtId="0" xfId="0" applyAlignment="1" applyBorder="1" applyFont="1">
      <alignment horizontal="center" shrinkToFit="0" vertical="center" wrapText="1"/>
    </xf>
    <xf borderId="8" fillId="6" fontId="6" numFmtId="3" xfId="0" applyAlignment="1" applyBorder="1" applyFont="1" applyNumberFormat="1">
      <alignment horizontal="center" shrinkToFit="0" vertical="center" wrapText="1"/>
    </xf>
    <xf borderId="8" fillId="6" fontId="4" numFmtId="10" xfId="0" applyAlignment="1" applyBorder="1" applyFont="1" applyNumberFormat="1">
      <alignment horizontal="center" shrinkToFit="0" vertical="center" wrapText="1"/>
    </xf>
    <xf borderId="8" fillId="6" fontId="6" numFmtId="10" xfId="0" applyAlignment="1" applyBorder="1" applyFont="1" applyNumberFormat="1">
      <alignment horizontal="center" shrinkToFit="0" vertical="center" wrapText="1"/>
    </xf>
    <xf borderId="15" fillId="6" fontId="5" numFmtId="0" xfId="0" applyAlignment="1" applyBorder="1" applyFont="1">
      <alignment horizontal="center" shrinkToFit="0" vertical="center" wrapText="1"/>
    </xf>
    <xf borderId="0" fillId="0" fontId="1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3" width="18.0"/>
    <col customWidth="1" min="4" max="4" width="16.0"/>
    <col customWidth="1" min="5" max="5" width="12.0"/>
    <col customWidth="1" min="6" max="6" width="20.0"/>
    <col customWidth="1" min="7" max="26" width="8.71"/>
  </cols>
  <sheetData>
    <row r="1" ht="15.0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 t="s">
        <v>7</v>
      </c>
      <c r="B3" s="6">
        <v>1323600.0</v>
      </c>
      <c r="C3" s="6">
        <v>549988.0</v>
      </c>
      <c r="D3" s="6">
        <v>773612.0</v>
      </c>
      <c r="E3" s="7">
        <v>0.584475672408583</v>
      </c>
      <c r="F3" s="6">
        <v>3832.66898954706</v>
      </c>
    </row>
    <row r="4">
      <c r="A4" s="8" t="s">
        <v>8</v>
      </c>
      <c r="B4" s="9">
        <v>2932500.0</v>
      </c>
      <c r="C4" s="9">
        <v>1469628.0</v>
      </c>
      <c r="D4" s="9">
        <v>1462872.0</v>
      </c>
      <c r="E4" s="10">
        <v>0.498848081841432</v>
      </c>
      <c r="F4" s="9">
        <v>43738.9285714287</v>
      </c>
    </row>
    <row r="5">
      <c r="A5" s="11" t="s">
        <v>9</v>
      </c>
      <c r="B5" s="12">
        <v>306900.0</v>
      </c>
      <c r="C5" s="12">
        <v>330038.0</v>
      </c>
      <c r="D5" s="12">
        <v>-23138.0</v>
      </c>
      <c r="E5" s="13">
        <v>-0.0753926360377973</v>
      </c>
      <c r="F5" s="12">
        <v>15209.1244239631</v>
      </c>
    </row>
    <row r="6">
      <c r="A6" s="14" t="s">
        <v>10</v>
      </c>
      <c r="B6" s="15">
        <v>4563000.0</v>
      </c>
      <c r="C6" s="15">
        <v>2349654.0</v>
      </c>
      <c r="D6" s="15">
        <v>2213346.0</v>
      </c>
      <c r="E6" s="16">
        <v>0.485063773833005</v>
      </c>
      <c r="F6" s="14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1" width="11.0"/>
    <col customWidth="1" min="32" max="32" width="8.71"/>
  </cols>
  <sheetData>
    <row r="1" ht="19.5" customHeight="1">
      <c r="A1" s="1" t="s">
        <v>12</v>
      </c>
      <c r="B1" s="2"/>
      <c r="C1" s="3"/>
      <c r="D1" s="1" t="s">
        <v>13</v>
      </c>
      <c r="E1" s="2"/>
      <c r="F1" s="3"/>
      <c r="G1" s="1" t="s">
        <v>14</v>
      </c>
      <c r="H1" s="2"/>
      <c r="I1" s="2"/>
      <c r="J1" s="2"/>
      <c r="K1" s="3"/>
      <c r="L1" s="1" t="s">
        <v>15</v>
      </c>
      <c r="M1" s="2"/>
      <c r="N1" s="2"/>
      <c r="O1" s="2"/>
      <c r="P1" s="3"/>
      <c r="Q1" s="1" t="s">
        <v>16</v>
      </c>
      <c r="R1" s="2"/>
      <c r="S1" s="2"/>
      <c r="T1" s="2"/>
      <c r="U1" s="2"/>
      <c r="V1" s="2"/>
      <c r="W1" s="2"/>
      <c r="X1" s="2"/>
      <c r="Y1" s="3"/>
      <c r="Z1" s="1" t="s">
        <v>17</v>
      </c>
      <c r="AA1" s="3"/>
    </row>
    <row r="2" ht="27.75" customHeight="1">
      <c r="A2" s="4" t="s">
        <v>18</v>
      </c>
      <c r="B2" s="4" t="s">
        <v>19</v>
      </c>
      <c r="C2" s="4" t="s">
        <v>1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4" t="s">
        <v>36</v>
      </c>
      <c r="U2" s="4" t="s">
        <v>37</v>
      </c>
      <c r="V2" s="4" t="s">
        <v>38</v>
      </c>
      <c r="W2" s="4" t="s">
        <v>39</v>
      </c>
      <c r="X2" s="4" t="s">
        <v>40</v>
      </c>
      <c r="Y2" s="4" t="s">
        <v>41</v>
      </c>
      <c r="Z2" s="4" t="s">
        <v>42</v>
      </c>
      <c r="AA2" s="4" t="s">
        <v>43</v>
      </c>
      <c r="AB2" s="4" t="s">
        <v>44</v>
      </c>
      <c r="AC2" s="4" t="s">
        <v>3</v>
      </c>
      <c r="AD2" s="4" t="s">
        <v>4</v>
      </c>
      <c r="AE2" s="4" t="s">
        <v>5</v>
      </c>
    </row>
    <row r="3" hidden="1">
      <c r="A3" s="5" t="s">
        <v>45</v>
      </c>
      <c r="B3" s="5" t="s">
        <v>46</v>
      </c>
      <c r="C3" s="5" t="s">
        <v>7</v>
      </c>
      <c r="D3" s="17">
        <v>5400.0</v>
      </c>
      <c r="E3" s="18">
        <v>4.0</v>
      </c>
      <c r="F3" s="6">
        <v>21600.0</v>
      </c>
      <c r="G3" s="5">
        <v>151.0</v>
      </c>
      <c r="H3" s="5">
        <v>81.0</v>
      </c>
      <c r="I3" s="5">
        <v>42.0</v>
      </c>
      <c r="J3" s="5">
        <v>0.0</v>
      </c>
      <c r="K3" s="5">
        <v>0.0</v>
      </c>
      <c r="L3" s="6">
        <v>1036.0</v>
      </c>
      <c r="M3" s="6">
        <v>1036.0</v>
      </c>
      <c r="N3" s="6">
        <v>1250.0</v>
      </c>
      <c r="O3" s="6">
        <v>833.0</v>
      </c>
      <c r="P3" s="6">
        <v>250.0</v>
      </c>
      <c r="Q3" s="6">
        <v>0.0</v>
      </c>
      <c r="R3" s="19" t="s">
        <v>47</v>
      </c>
      <c r="S3" s="6">
        <v>0.0</v>
      </c>
      <c r="T3" s="6">
        <v>0.0</v>
      </c>
      <c r="U3" s="6">
        <v>0.0</v>
      </c>
      <c r="V3" s="6">
        <v>1093.0</v>
      </c>
      <c r="W3" s="6">
        <v>155.0</v>
      </c>
      <c r="X3" s="6">
        <v>411.0</v>
      </c>
      <c r="Y3" s="6">
        <v>622.0</v>
      </c>
      <c r="Z3" s="6">
        <v>125.0</v>
      </c>
      <c r="AA3" s="6">
        <v>1296.0</v>
      </c>
      <c r="AB3" s="6">
        <v>1080.0</v>
      </c>
      <c r="AC3" s="6">
        <v>10233.0</v>
      </c>
      <c r="AD3" s="6">
        <v>11367.0</v>
      </c>
      <c r="AE3" s="7">
        <v>0.52625</v>
      </c>
    </row>
    <row r="4" ht="26.25" customHeight="1">
      <c r="A4" s="8" t="s">
        <v>45</v>
      </c>
      <c r="B4" s="8" t="s">
        <v>46</v>
      </c>
      <c r="C4" s="8" t="s">
        <v>8</v>
      </c>
      <c r="D4" s="20">
        <v>69000.0</v>
      </c>
      <c r="E4" s="21">
        <v>1.0</v>
      </c>
      <c r="F4" s="9">
        <v>69000.0</v>
      </c>
      <c r="G4" s="8">
        <v>8.0</v>
      </c>
      <c r="H4" s="8">
        <v>9.0</v>
      </c>
      <c r="I4" s="8">
        <v>110.0</v>
      </c>
      <c r="J4" s="8">
        <v>0.0</v>
      </c>
      <c r="K4" s="8">
        <v>17.0</v>
      </c>
      <c r="L4" s="9">
        <v>1073.0</v>
      </c>
      <c r="M4" s="9">
        <v>1073.0</v>
      </c>
      <c r="N4" s="9">
        <v>7812.0</v>
      </c>
      <c r="O4" s="9">
        <v>833.0</v>
      </c>
      <c r="P4" s="9">
        <v>250.0</v>
      </c>
      <c r="Q4" s="9">
        <v>6098.0</v>
      </c>
      <c r="R4" s="22">
        <v>5417.0</v>
      </c>
      <c r="S4" s="9">
        <v>3740.0</v>
      </c>
      <c r="T4" s="9">
        <v>2080.0</v>
      </c>
      <c r="U4" s="9">
        <v>0.0</v>
      </c>
      <c r="V4" s="9">
        <v>1132.0</v>
      </c>
      <c r="W4" s="9">
        <v>161.0</v>
      </c>
      <c r="X4" s="9">
        <v>426.0</v>
      </c>
      <c r="Y4" s="9">
        <v>161.0</v>
      </c>
      <c r="Z4" s="9">
        <v>250.0</v>
      </c>
      <c r="AA4" s="9">
        <v>4140.0</v>
      </c>
      <c r="AB4" s="9">
        <v>3450.0</v>
      </c>
      <c r="AC4" s="9">
        <v>32679.0</v>
      </c>
      <c r="AD4" s="9">
        <v>36321.0</v>
      </c>
      <c r="AE4" s="10">
        <v>0.526391304347826</v>
      </c>
    </row>
    <row r="5" hidden="1">
      <c r="A5" s="5" t="s">
        <v>45</v>
      </c>
      <c r="B5" s="5" t="s">
        <v>48</v>
      </c>
      <c r="C5" s="5" t="s">
        <v>7</v>
      </c>
      <c r="D5" s="17">
        <v>10000.0</v>
      </c>
      <c r="E5" s="18">
        <v>4.0</v>
      </c>
      <c r="F5" s="6">
        <v>40000.0</v>
      </c>
      <c r="G5" s="5">
        <v>171.0</v>
      </c>
      <c r="H5" s="5">
        <v>82.0</v>
      </c>
      <c r="I5" s="5">
        <v>42.0</v>
      </c>
      <c r="J5" s="5">
        <v>0.0</v>
      </c>
      <c r="K5" s="5">
        <v>0.0</v>
      </c>
      <c r="L5" s="6">
        <v>902.0</v>
      </c>
      <c r="M5" s="6">
        <v>902.0</v>
      </c>
      <c r="N5" s="6">
        <v>1250.0</v>
      </c>
      <c r="O5" s="6">
        <v>833.0</v>
      </c>
      <c r="P5" s="6">
        <v>250.0</v>
      </c>
      <c r="Q5" s="6">
        <v>0.0</v>
      </c>
      <c r="R5" s="23" t="s">
        <v>47</v>
      </c>
      <c r="S5" s="6">
        <v>0.0</v>
      </c>
      <c r="T5" s="6">
        <v>0.0</v>
      </c>
      <c r="U5" s="6">
        <v>0.0</v>
      </c>
      <c r="V5" s="6">
        <v>952.0</v>
      </c>
      <c r="W5" s="6">
        <v>135.0</v>
      </c>
      <c r="X5" s="6">
        <v>358.0</v>
      </c>
      <c r="Y5" s="6">
        <v>541.0</v>
      </c>
      <c r="Z5" s="6">
        <v>125.0</v>
      </c>
      <c r="AA5" s="6">
        <v>2400.0</v>
      </c>
      <c r="AB5" s="6">
        <v>2000.0</v>
      </c>
      <c r="AC5" s="6">
        <v>12538.0</v>
      </c>
      <c r="AD5" s="6">
        <v>27462.0</v>
      </c>
      <c r="AE5" s="7">
        <v>0.68655</v>
      </c>
    </row>
    <row r="6" ht="26.25" customHeight="1">
      <c r="A6" s="8" t="s">
        <v>45</v>
      </c>
      <c r="B6" s="8" t="s">
        <v>48</v>
      </c>
      <c r="C6" s="8" t="s">
        <v>8</v>
      </c>
      <c r="D6" s="20">
        <v>103500.0</v>
      </c>
      <c r="E6" s="21">
        <v>1.0</v>
      </c>
      <c r="F6" s="9">
        <v>103500.0</v>
      </c>
      <c r="G6" s="8">
        <v>5.0</v>
      </c>
      <c r="H6" s="8">
        <v>10.0</v>
      </c>
      <c r="I6" s="8">
        <v>108.0</v>
      </c>
      <c r="J6" s="8">
        <v>0.0</v>
      </c>
      <c r="K6" s="8">
        <v>31.0</v>
      </c>
      <c r="L6" s="9">
        <v>1009.0</v>
      </c>
      <c r="M6" s="9">
        <v>1009.0</v>
      </c>
      <c r="N6" s="9">
        <v>7670.0</v>
      </c>
      <c r="O6" s="9">
        <v>833.0</v>
      </c>
      <c r="P6" s="9">
        <v>250.0</v>
      </c>
      <c r="Q6" s="9">
        <v>7098.0</v>
      </c>
      <c r="R6" s="22">
        <v>5938.0</v>
      </c>
      <c r="S6" s="9">
        <v>6820.0</v>
      </c>
      <c r="T6" s="9">
        <v>2080.0</v>
      </c>
      <c r="U6" s="9">
        <v>0.0</v>
      </c>
      <c r="V6" s="9">
        <v>1064.0</v>
      </c>
      <c r="W6" s="9">
        <v>151.0</v>
      </c>
      <c r="X6" s="9">
        <v>400.0</v>
      </c>
      <c r="Y6" s="9">
        <v>151.0</v>
      </c>
      <c r="Z6" s="9">
        <v>250.0</v>
      </c>
      <c r="AA6" s="9">
        <v>6210.0</v>
      </c>
      <c r="AB6" s="9">
        <v>5175.0</v>
      </c>
      <c r="AC6" s="9">
        <v>40170.0</v>
      </c>
      <c r="AD6" s="9">
        <v>63330.0</v>
      </c>
      <c r="AE6" s="10">
        <v>0.611884057971015</v>
      </c>
    </row>
    <row r="7" ht="26.25" hidden="1" customHeight="1">
      <c r="A7" s="11" t="s">
        <v>45</v>
      </c>
      <c r="B7" s="11" t="s">
        <v>48</v>
      </c>
      <c r="C7" s="11" t="s">
        <v>9</v>
      </c>
      <c r="D7" s="24">
        <v>9900.0</v>
      </c>
      <c r="E7" s="25">
        <v>1.0</v>
      </c>
      <c r="F7" s="12">
        <v>9900.0</v>
      </c>
      <c r="G7" s="11">
        <v>0.0</v>
      </c>
      <c r="H7" s="11">
        <v>7.0</v>
      </c>
      <c r="I7" s="11">
        <v>29.0</v>
      </c>
      <c r="J7" s="11">
        <v>12.0</v>
      </c>
      <c r="K7" s="11">
        <v>0.0</v>
      </c>
      <c r="L7" s="12">
        <v>0.0</v>
      </c>
      <c r="M7" s="12">
        <v>1087.0</v>
      </c>
      <c r="N7" s="12">
        <v>2060.0</v>
      </c>
      <c r="O7" s="12">
        <v>833.0</v>
      </c>
      <c r="P7" s="12">
        <v>250.0</v>
      </c>
      <c r="Q7" s="12">
        <v>0.0</v>
      </c>
      <c r="R7" s="26">
        <v>5551.0</v>
      </c>
      <c r="S7" s="12">
        <v>0.0</v>
      </c>
      <c r="T7" s="12">
        <v>694.0</v>
      </c>
      <c r="U7" s="12">
        <v>3000.0</v>
      </c>
      <c r="V7" s="12">
        <v>1147.0</v>
      </c>
      <c r="W7" s="12" t="s">
        <v>47</v>
      </c>
      <c r="X7" s="12" t="s">
        <v>47</v>
      </c>
      <c r="Y7" s="12" t="s">
        <v>47</v>
      </c>
      <c r="Z7" s="12" t="s">
        <v>47</v>
      </c>
      <c r="AA7" s="12">
        <v>594.0</v>
      </c>
      <c r="AB7" s="12">
        <v>495.0</v>
      </c>
      <c r="AC7" s="12">
        <f>SUM(M7:AB7)</f>
        <v>15711</v>
      </c>
      <c r="AD7" s="12">
        <f>F7-AC7</f>
        <v>-5811</v>
      </c>
      <c r="AE7" s="13">
        <f>AD7/F7</f>
        <v>-0.586969697</v>
      </c>
    </row>
    <row r="8" hidden="1">
      <c r="A8" s="5" t="s">
        <v>45</v>
      </c>
      <c r="B8" s="5" t="s">
        <v>49</v>
      </c>
      <c r="C8" s="5" t="s">
        <v>7</v>
      </c>
      <c r="D8" s="17">
        <v>10000.0</v>
      </c>
      <c r="E8" s="18">
        <v>4.0</v>
      </c>
      <c r="F8" s="6">
        <v>40000.0</v>
      </c>
      <c r="G8" s="5">
        <v>153.0</v>
      </c>
      <c r="H8" s="5">
        <v>82.0</v>
      </c>
      <c r="I8" s="5">
        <v>39.0</v>
      </c>
      <c r="J8" s="5">
        <v>0.0</v>
      </c>
      <c r="K8" s="5">
        <v>0.0</v>
      </c>
      <c r="L8" s="6">
        <v>936.0</v>
      </c>
      <c r="M8" s="6">
        <v>936.0</v>
      </c>
      <c r="N8" s="6">
        <v>1250.0</v>
      </c>
      <c r="O8" s="6">
        <v>833.0</v>
      </c>
      <c r="P8" s="6">
        <v>250.0</v>
      </c>
      <c r="Q8" s="6">
        <v>0.0</v>
      </c>
      <c r="R8" s="23" t="s">
        <v>47</v>
      </c>
      <c r="S8" s="6">
        <v>0.0</v>
      </c>
      <c r="T8" s="6">
        <v>0.0</v>
      </c>
      <c r="U8" s="6">
        <v>0.0</v>
      </c>
      <c r="V8" s="6">
        <v>987.0</v>
      </c>
      <c r="W8" s="6">
        <v>140.0</v>
      </c>
      <c r="X8" s="12" t="s">
        <v>47</v>
      </c>
      <c r="Y8" s="12" t="s">
        <v>47</v>
      </c>
      <c r="Z8" s="12" t="s">
        <v>47</v>
      </c>
      <c r="AA8" s="6">
        <v>2400.0</v>
      </c>
      <c r="AB8" s="6">
        <v>2000.0</v>
      </c>
      <c r="AC8" s="6">
        <v>12247.0</v>
      </c>
      <c r="AD8" s="6">
        <v>27753.0</v>
      </c>
      <c r="AE8" s="7">
        <v>0.15348484848484847</v>
      </c>
    </row>
    <row r="9" ht="15.75" customHeight="1">
      <c r="A9" s="8" t="s">
        <v>45</v>
      </c>
      <c r="B9" s="8" t="s">
        <v>49</v>
      </c>
      <c r="C9" s="8" t="s">
        <v>8</v>
      </c>
      <c r="D9" s="20">
        <v>34500.0</v>
      </c>
      <c r="E9" s="21">
        <v>1.0</v>
      </c>
      <c r="F9" s="9">
        <v>34500.0</v>
      </c>
      <c r="G9" s="8">
        <v>9.0</v>
      </c>
      <c r="H9" s="8">
        <v>10.0</v>
      </c>
      <c r="I9" s="8">
        <v>103.0</v>
      </c>
      <c r="J9" s="8">
        <v>0.0</v>
      </c>
      <c r="K9" s="8">
        <v>9.0</v>
      </c>
      <c r="L9" s="9">
        <v>930.0</v>
      </c>
      <c r="M9" s="9">
        <v>930.0</v>
      </c>
      <c r="N9" s="9">
        <v>7315.0</v>
      </c>
      <c r="O9" s="9">
        <v>833.0</v>
      </c>
      <c r="P9" s="9">
        <v>250.0</v>
      </c>
      <c r="Q9" s="9">
        <v>5098.0</v>
      </c>
      <c r="R9" s="22">
        <v>5903.0</v>
      </c>
      <c r="S9" s="9">
        <v>1980.0</v>
      </c>
      <c r="T9" s="9">
        <v>2080.0</v>
      </c>
      <c r="U9" s="9">
        <v>0.0</v>
      </c>
      <c r="V9" s="9">
        <v>981.0</v>
      </c>
      <c r="W9" s="9">
        <v>140.0</v>
      </c>
      <c r="X9" s="27">
        <v>385.0</v>
      </c>
      <c r="Y9" s="27">
        <v>145.0</v>
      </c>
      <c r="Z9" s="27">
        <v>250.0</v>
      </c>
      <c r="AA9" s="9">
        <v>2070.0</v>
      </c>
      <c r="AB9" s="9">
        <v>1725.0</v>
      </c>
      <c r="AC9" s="9">
        <v>25091.0</v>
      </c>
      <c r="AD9" s="9">
        <v>9409.0</v>
      </c>
      <c r="AE9" s="10">
        <v>-0.564949494949495</v>
      </c>
    </row>
    <row r="10" hidden="1">
      <c r="A10" s="5" t="s">
        <v>45</v>
      </c>
      <c r="B10" s="5" t="s">
        <v>50</v>
      </c>
      <c r="C10" s="5" t="s">
        <v>7</v>
      </c>
      <c r="D10" s="17">
        <v>8000.0</v>
      </c>
      <c r="E10" s="18">
        <v>4.0</v>
      </c>
      <c r="F10" s="6">
        <v>32000.0</v>
      </c>
      <c r="G10" s="5">
        <v>156.0</v>
      </c>
      <c r="H10" s="5">
        <v>88.0</v>
      </c>
      <c r="I10" s="5">
        <v>41.0</v>
      </c>
      <c r="J10" s="5">
        <v>0.0</v>
      </c>
      <c r="K10" s="5">
        <v>0.0</v>
      </c>
      <c r="L10" s="6">
        <v>1055.0</v>
      </c>
      <c r="M10" s="6">
        <v>1055.0</v>
      </c>
      <c r="N10" s="6">
        <v>1250.0</v>
      </c>
      <c r="O10" s="6">
        <v>833.0</v>
      </c>
      <c r="P10" s="6">
        <v>250.0</v>
      </c>
      <c r="Q10" s="6">
        <v>0.0</v>
      </c>
      <c r="R10" s="23" t="s">
        <v>47</v>
      </c>
      <c r="S10" s="6">
        <v>0.0</v>
      </c>
      <c r="T10" s="6">
        <v>0.0</v>
      </c>
      <c r="U10" s="6">
        <v>0.0</v>
      </c>
      <c r="V10" s="6">
        <v>1113.0</v>
      </c>
      <c r="W10" s="6">
        <v>158.0</v>
      </c>
      <c r="X10" s="12" t="s">
        <v>47</v>
      </c>
      <c r="Y10" s="12" t="s">
        <v>47</v>
      </c>
      <c r="Z10" s="12" t="s">
        <v>47</v>
      </c>
      <c r="AA10" s="6">
        <v>1920.0</v>
      </c>
      <c r="AB10" s="6">
        <v>1600.0</v>
      </c>
      <c r="AC10" s="6">
        <v>12347.0</v>
      </c>
      <c r="AD10" s="6">
        <v>19653.0</v>
      </c>
      <c r="AE10" s="7">
        <v>0.16348484848484848</v>
      </c>
    </row>
    <row r="11" ht="26.25" customHeight="1">
      <c r="A11" s="8" t="s">
        <v>45</v>
      </c>
      <c r="B11" s="8" t="s">
        <v>50</v>
      </c>
      <c r="C11" s="8" t="s">
        <v>8</v>
      </c>
      <c r="D11" s="20">
        <v>69000.0</v>
      </c>
      <c r="E11" s="21">
        <v>1.0</v>
      </c>
      <c r="F11" s="9">
        <v>69000.0</v>
      </c>
      <c r="G11" s="8">
        <v>8.0</v>
      </c>
      <c r="H11" s="8">
        <v>9.0</v>
      </c>
      <c r="I11" s="8">
        <v>92.0</v>
      </c>
      <c r="J11" s="8">
        <v>0.0</v>
      </c>
      <c r="K11" s="8">
        <v>17.0</v>
      </c>
      <c r="L11" s="9">
        <v>1044.0</v>
      </c>
      <c r="M11" s="9">
        <v>1044.0</v>
      </c>
      <c r="N11" s="9">
        <v>6534.0</v>
      </c>
      <c r="O11" s="9">
        <v>833.0</v>
      </c>
      <c r="P11" s="9">
        <v>250.0</v>
      </c>
      <c r="Q11" s="9">
        <v>6098.0</v>
      </c>
      <c r="R11" s="22">
        <v>5445.0</v>
      </c>
      <c r="S11" s="9">
        <v>3740.0</v>
      </c>
      <c r="T11" s="9">
        <v>2080.0</v>
      </c>
      <c r="U11" s="9">
        <v>0.0</v>
      </c>
      <c r="V11" s="9">
        <v>1102.0</v>
      </c>
      <c r="W11" s="9">
        <v>157.0</v>
      </c>
      <c r="X11" s="27">
        <v>355.0</v>
      </c>
      <c r="Y11" s="27">
        <v>134.0</v>
      </c>
      <c r="Z11" s="27">
        <v>250.0</v>
      </c>
      <c r="AA11" s="9">
        <v>4140.0</v>
      </c>
      <c r="AB11" s="9">
        <v>3450.0</v>
      </c>
      <c r="AC11" s="9">
        <v>31294.0</v>
      </c>
      <c r="AD11" s="9">
        <v>37706.0</v>
      </c>
      <c r="AE11" s="10">
        <v>-0.6066666666666667</v>
      </c>
    </row>
    <row r="12" ht="26.25" hidden="1" customHeight="1">
      <c r="A12" s="11" t="s">
        <v>45</v>
      </c>
      <c r="B12" s="11" t="s">
        <v>50</v>
      </c>
      <c r="C12" s="11" t="s">
        <v>9</v>
      </c>
      <c r="D12" s="24">
        <v>9900.0</v>
      </c>
      <c r="E12" s="25">
        <v>2.0</v>
      </c>
      <c r="F12" s="12">
        <v>19800.0</v>
      </c>
      <c r="G12" s="11">
        <v>0.0</v>
      </c>
      <c r="H12" s="11">
        <v>17.0</v>
      </c>
      <c r="I12" s="11">
        <v>60.0</v>
      </c>
      <c r="J12" s="11">
        <v>43.0</v>
      </c>
      <c r="K12" s="11">
        <v>0.0</v>
      </c>
      <c r="L12" s="12">
        <v>0.0</v>
      </c>
      <c r="M12" s="12">
        <v>944.0</v>
      </c>
      <c r="N12" s="12">
        <v>3125.0</v>
      </c>
      <c r="O12" s="12">
        <v>833.0</v>
      </c>
      <c r="P12" s="12">
        <v>250.0</v>
      </c>
      <c r="Q12" s="12">
        <v>0.0</v>
      </c>
      <c r="R12" s="26">
        <v>6588.0</v>
      </c>
      <c r="S12" s="12">
        <v>0.0</v>
      </c>
      <c r="T12" s="12">
        <v>347.0</v>
      </c>
      <c r="U12" s="12">
        <v>1500.0</v>
      </c>
      <c r="V12" s="12">
        <v>996.0</v>
      </c>
      <c r="W12" s="12" t="s">
        <v>47</v>
      </c>
      <c r="X12" s="12" t="s">
        <v>47</v>
      </c>
      <c r="Y12" s="12" t="s">
        <v>47</v>
      </c>
      <c r="Z12" s="12" t="s">
        <v>47</v>
      </c>
      <c r="AA12" s="12">
        <v>1188.0</v>
      </c>
      <c r="AB12" s="12">
        <v>990.0</v>
      </c>
      <c r="AC12" s="12">
        <f>SUM(M12:AB12)</f>
        <v>16761</v>
      </c>
      <c r="AD12" s="12">
        <f>F12-AC12</f>
        <v>3039</v>
      </c>
      <c r="AE12" s="28">
        <f>AD12/F12</f>
        <v>0.1534848485</v>
      </c>
    </row>
    <row r="13" hidden="1">
      <c r="A13" s="5" t="s">
        <v>51</v>
      </c>
      <c r="B13" s="5" t="s">
        <v>46</v>
      </c>
      <c r="C13" s="5" t="s">
        <v>7</v>
      </c>
      <c r="D13" s="17">
        <v>8000.0</v>
      </c>
      <c r="E13" s="18">
        <v>4.0</v>
      </c>
      <c r="F13" s="6">
        <v>32000.0</v>
      </c>
      <c r="G13" s="5">
        <v>166.0</v>
      </c>
      <c r="H13" s="5">
        <v>82.0</v>
      </c>
      <c r="I13" s="5">
        <v>39.0</v>
      </c>
      <c r="J13" s="5">
        <v>0.0</v>
      </c>
      <c r="K13" s="5">
        <v>0.0</v>
      </c>
      <c r="L13" s="6">
        <v>917.0</v>
      </c>
      <c r="M13" s="6">
        <v>917.0</v>
      </c>
      <c r="N13" s="6">
        <v>1250.0</v>
      </c>
      <c r="O13" s="6">
        <v>833.0</v>
      </c>
      <c r="P13" s="6">
        <v>250.0</v>
      </c>
      <c r="Q13" s="6">
        <v>0.0</v>
      </c>
      <c r="R13" s="23" t="s">
        <v>47</v>
      </c>
      <c r="S13" s="6">
        <v>0.0</v>
      </c>
      <c r="T13" s="6">
        <v>0.0</v>
      </c>
      <c r="U13" s="6">
        <v>0.0</v>
      </c>
      <c r="V13" s="6">
        <v>967.0</v>
      </c>
      <c r="W13" s="6">
        <v>138.0</v>
      </c>
      <c r="X13" s="12" t="s">
        <v>47</v>
      </c>
      <c r="Y13" s="12" t="s">
        <v>47</v>
      </c>
      <c r="Z13" s="12" t="s">
        <v>47</v>
      </c>
      <c r="AA13" s="6">
        <v>1920.0</v>
      </c>
      <c r="AB13" s="6">
        <v>1600.0</v>
      </c>
      <c r="AC13" s="6">
        <v>11567.0</v>
      </c>
      <c r="AD13" s="6">
        <v>20433.0</v>
      </c>
      <c r="AE13" s="7">
        <v>-0.5682828282828283</v>
      </c>
    </row>
    <row r="14" ht="26.25" customHeight="1">
      <c r="A14" s="8" t="s">
        <v>51</v>
      </c>
      <c r="B14" s="8" t="s">
        <v>46</v>
      </c>
      <c r="C14" s="8" t="s">
        <v>8</v>
      </c>
      <c r="D14" s="20">
        <v>34500.0</v>
      </c>
      <c r="E14" s="21">
        <v>1.0</v>
      </c>
      <c r="F14" s="9">
        <v>34500.0</v>
      </c>
      <c r="G14" s="8">
        <v>8.0</v>
      </c>
      <c r="H14" s="8">
        <v>11.0</v>
      </c>
      <c r="I14" s="8">
        <v>105.0</v>
      </c>
      <c r="J14" s="8">
        <v>0.0</v>
      </c>
      <c r="K14" s="8">
        <v>8.0</v>
      </c>
      <c r="L14" s="9">
        <v>992.0</v>
      </c>
      <c r="M14" s="9">
        <v>992.0</v>
      </c>
      <c r="N14" s="9">
        <v>7457.0</v>
      </c>
      <c r="O14" s="9">
        <v>833.0</v>
      </c>
      <c r="P14" s="9">
        <v>250.0</v>
      </c>
      <c r="Q14" s="9">
        <v>5098.0</v>
      </c>
      <c r="R14" s="22">
        <v>5224.0</v>
      </c>
      <c r="S14" s="9">
        <v>1760.0</v>
      </c>
      <c r="T14" s="9">
        <v>2080.0</v>
      </c>
      <c r="U14" s="9">
        <v>0.0</v>
      </c>
      <c r="V14" s="9">
        <v>1047.0</v>
      </c>
      <c r="W14" s="9">
        <v>149.0</v>
      </c>
      <c r="X14" s="27">
        <v>374.0</v>
      </c>
      <c r="Y14" s="27">
        <v>141.0</v>
      </c>
      <c r="Z14" s="27">
        <v>250.0</v>
      </c>
      <c r="AA14" s="9">
        <v>2070.0</v>
      </c>
      <c r="AB14" s="9">
        <v>1725.0</v>
      </c>
      <c r="AC14" s="9">
        <v>25246.0</v>
      </c>
      <c r="AD14" s="9">
        <v>9254.0</v>
      </c>
      <c r="AE14" s="10">
        <v>-0.5653535353535354</v>
      </c>
    </row>
    <row r="15" hidden="1">
      <c r="A15" s="5" t="s">
        <v>51</v>
      </c>
      <c r="B15" s="5" t="s">
        <v>48</v>
      </c>
      <c r="C15" s="5" t="s">
        <v>7</v>
      </c>
      <c r="D15" s="17">
        <v>4500.0</v>
      </c>
      <c r="E15" s="18">
        <v>4.0</v>
      </c>
      <c r="F15" s="6">
        <v>18000.0</v>
      </c>
      <c r="G15" s="5">
        <v>169.0</v>
      </c>
      <c r="H15" s="5">
        <v>77.0</v>
      </c>
      <c r="I15" s="5">
        <v>38.0</v>
      </c>
      <c r="J15" s="5">
        <v>0.0</v>
      </c>
      <c r="K15" s="5">
        <v>0.0</v>
      </c>
      <c r="L15" s="6">
        <v>1092.0</v>
      </c>
      <c r="M15" s="6">
        <v>1092.0</v>
      </c>
      <c r="N15" s="6">
        <v>1250.0</v>
      </c>
      <c r="O15" s="6">
        <v>833.0</v>
      </c>
      <c r="P15" s="6">
        <v>250.0</v>
      </c>
      <c r="Q15" s="6">
        <v>0.0</v>
      </c>
      <c r="R15" s="23" t="s">
        <v>47</v>
      </c>
      <c r="S15" s="6">
        <v>0.0</v>
      </c>
      <c r="T15" s="6">
        <v>0.0</v>
      </c>
      <c r="U15" s="6">
        <v>0.0</v>
      </c>
      <c r="V15" s="6">
        <v>1152.0</v>
      </c>
      <c r="W15" s="6">
        <v>164.0</v>
      </c>
      <c r="X15" s="12" t="s">
        <v>47</v>
      </c>
      <c r="Y15" s="12" t="s">
        <v>47</v>
      </c>
      <c r="Z15" s="12" t="s">
        <v>47</v>
      </c>
      <c r="AA15" s="6">
        <v>1080.0</v>
      </c>
      <c r="AB15" s="6">
        <v>900.0</v>
      </c>
      <c r="AC15" s="6">
        <v>10378.0</v>
      </c>
      <c r="AD15" s="6">
        <v>7622.0</v>
      </c>
      <c r="AE15" s="7">
        <v>0.15262626262626264</v>
      </c>
    </row>
    <row r="16" ht="26.25" customHeight="1">
      <c r="A16" s="8" t="s">
        <v>51</v>
      </c>
      <c r="B16" s="8" t="s">
        <v>48</v>
      </c>
      <c r="C16" s="8" t="s">
        <v>8</v>
      </c>
      <c r="D16" s="20">
        <v>69000.0</v>
      </c>
      <c r="E16" s="21">
        <v>1.0</v>
      </c>
      <c r="F16" s="9">
        <v>69000.0</v>
      </c>
      <c r="G16" s="8">
        <v>7.0</v>
      </c>
      <c r="H16" s="8">
        <v>11.0</v>
      </c>
      <c r="I16" s="8">
        <v>106.0</v>
      </c>
      <c r="J16" s="8">
        <v>0.0</v>
      </c>
      <c r="K16" s="8">
        <v>18.0</v>
      </c>
      <c r="L16" s="9">
        <v>881.0</v>
      </c>
      <c r="M16" s="9">
        <v>881.0</v>
      </c>
      <c r="N16" s="9">
        <v>7528.0</v>
      </c>
      <c r="O16" s="9">
        <v>833.0</v>
      </c>
      <c r="P16" s="9">
        <v>250.0</v>
      </c>
      <c r="Q16" s="9">
        <v>6098.0</v>
      </c>
      <c r="R16" s="22">
        <v>5691.0</v>
      </c>
      <c r="S16" s="9">
        <v>3960.0</v>
      </c>
      <c r="T16" s="9">
        <v>2080.0</v>
      </c>
      <c r="U16" s="9">
        <v>0.0</v>
      </c>
      <c r="V16" s="9">
        <v>929.0</v>
      </c>
      <c r="W16" s="9">
        <v>132.0</v>
      </c>
      <c r="X16" s="27">
        <v>394.0</v>
      </c>
      <c r="Y16" s="27">
        <v>149.0</v>
      </c>
      <c r="Z16" s="27">
        <v>250.0</v>
      </c>
      <c r="AA16" s="9">
        <v>4140.0</v>
      </c>
      <c r="AB16" s="9">
        <v>3450.0</v>
      </c>
      <c r="AC16" s="9">
        <v>31894.0</v>
      </c>
      <c r="AD16" s="9">
        <v>37106.0</v>
      </c>
      <c r="AE16" s="10">
        <v>-0.604040404040404</v>
      </c>
    </row>
    <row r="17" ht="26.25" hidden="1" customHeight="1">
      <c r="A17" s="11" t="s">
        <v>51</v>
      </c>
      <c r="B17" s="11" t="s">
        <v>48</v>
      </c>
      <c r="C17" s="11" t="s">
        <v>9</v>
      </c>
      <c r="D17" s="24">
        <v>9900.0</v>
      </c>
      <c r="E17" s="25">
        <v>1.0</v>
      </c>
      <c r="F17" s="12">
        <v>9900.0</v>
      </c>
      <c r="G17" s="11">
        <v>0.0</v>
      </c>
      <c r="H17" s="11">
        <v>8.0</v>
      </c>
      <c r="I17" s="11">
        <v>29.0</v>
      </c>
      <c r="J17" s="11">
        <v>14.0</v>
      </c>
      <c r="K17" s="11">
        <v>0.0</v>
      </c>
      <c r="L17" s="12">
        <v>0.0</v>
      </c>
      <c r="M17" s="12">
        <v>906.0</v>
      </c>
      <c r="N17" s="12">
        <v>2060.0</v>
      </c>
      <c r="O17" s="12">
        <v>833.0</v>
      </c>
      <c r="P17" s="12">
        <v>250.0</v>
      </c>
      <c r="Q17" s="12">
        <v>0.0</v>
      </c>
      <c r="R17" s="26">
        <v>5706.0</v>
      </c>
      <c r="S17" s="12">
        <v>0.0</v>
      </c>
      <c r="T17" s="12">
        <v>694.0</v>
      </c>
      <c r="U17" s="12">
        <v>3000.0</v>
      </c>
      <c r="V17" s="12">
        <v>955.0</v>
      </c>
      <c r="W17" s="12" t="s">
        <v>47</v>
      </c>
      <c r="X17" s="12" t="s">
        <v>47</v>
      </c>
      <c r="Y17" s="12" t="s">
        <v>47</v>
      </c>
      <c r="Z17" s="12" t="s">
        <v>47</v>
      </c>
      <c r="AA17" s="12">
        <v>594.0</v>
      </c>
      <c r="AB17" s="12">
        <v>495.0</v>
      </c>
      <c r="AC17" s="12">
        <f>SUM(M17:AB17)</f>
        <v>15493</v>
      </c>
      <c r="AD17" s="12">
        <f>F17-AC17</f>
        <v>-5593</v>
      </c>
      <c r="AE17" s="13">
        <f>AD17/F17</f>
        <v>-0.5649494949</v>
      </c>
    </row>
    <row r="18" hidden="1">
      <c r="A18" s="5" t="s">
        <v>51</v>
      </c>
      <c r="B18" s="5" t="s">
        <v>49</v>
      </c>
      <c r="C18" s="5" t="s">
        <v>7</v>
      </c>
      <c r="D18" s="17">
        <v>3000.0</v>
      </c>
      <c r="E18" s="18">
        <v>4.0</v>
      </c>
      <c r="F18" s="6">
        <v>12000.0</v>
      </c>
      <c r="G18" s="5">
        <v>173.0</v>
      </c>
      <c r="H18" s="5">
        <v>82.0</v>
      </c>
      <c r="I18" s="5">
        <v>40.0</v>
      </c>
      <c r="J18" s="5">
        <v>0.0</v>
      </c>
      <c r="K18" s="5">
        <v>0.0</v>
      </c>
      <c r="L18" s="6">
        <v>1109.0</v>
      </c>
      <c r="M18" s="6">
        <v>1109.0</v>
      </c>
      <c r="N18" s="6">
        <v>1250.0</v>
      </c>
      <c r="O18" s="6">
        <v>833.0</v>
      </c>
      <c r="P18" s="6">
        <v>250.0</v>
      </c>
      <c r="Q18" s="6">
        <v>0.0</v>
      </c>
      <c r="R18" s="23" t="s">
        <v>47</v>
      </c>
      <c r="S18" s="6">
        <v>0.0</v>
      </c>
      <c r="T18" s="6">
        <v>0.0</v>
      </c>
      <c r="U18" s="6">
        <v>0.0</v>
      </c>
      <c r="V18" s="6">
        <v>1170.0</v>
      </c>
      <c r="W18" s="6">
        <v>166.0</v>
      </c>
      <c r="X18" s="12" t="s">
        <v>47</v>
      </c>
      <c r="Y18" s="12" t="s">
        <v>47</v>
      </c>
      <c r="Z18" s="12" t="s">
        <v>47</v>
      </c>
      <c r="AA18" s="6">
        <v>720.0</v>
      </c>
      <c r="AB18" s="6">
        <v>600.0</v>
      </c>
      <c r="AC18" s="6">
        <v>9732.0</v>
      </c>
      <c r="AD18" s="6">
        <v>2268.0</v>
      </c>
      <c r="AE18" s="7">
        <v>-0.5985858585858586</v>
      </c>
    </row>
    <row r="19" ht="15.75" customHeight="1">
      <c r="A19" s="8" t="s">
        <v>51</v>
      </c>
      <c r="B19" s="8" t="s">
        <v>49</v>
      </c>
      <c r="C19" s="8" t="s">
        <v>8</v>
      </c>
      <c r="D19" s="20">
        <v>103500.0</v>
      </c>
      <c r="E19" s="21">
        <v>1.0</v>
      </c>
      <c r="F19" s="9">
        <v>103500.0</v>
      </c>
      <c r="G19" s="8">
        <v>3.0</v>
      </c>
      <c r="H19" s="8">
        <v>9.0</v>
      </c>
      <c r="I19" s="8">
        <v>96.0</v>
      </c>
      <c r="J19" s="8">
        <v>0.0</v>
      </c>
      <c r="K19" s="8">
        <v>31.0</v>
      </c>
      <c r="L19" s="9">
        <v>967.0</v>
      </c>
      <c r="M19" s="9">
        <v>967.0</v>
      </c>
      <c r="N19" s="9">
        <v>6818.0</v>
      </c>
      <c r="O19" s="9">
        <v>833.0</v>
      </c>
      <c r="P19" s="9">
        <v>250.0</v>
      </c>
      <c r="Q19" s="9">
        <v>7098.0</v>
      </c>
      <c r="R19" s="22">
        <v>5604.0</v>
      </c>
      <c r="S19" s="9">
        <v>6820.0</v>
      </c>
      <c r="T19" s="9">
        <v>2080.0</v>
      </c>
      <c r="U19" s="9">
        <v>0.0</v>
      </c>
      <c r="V19" s="9">
        <v>1020.0</v>
      </c>
      <c r="W19" s="9">
        <v>145.0</v>
      </c>
      <c r="X19" s="27">
        <v>368.0</v>
      </c>
      <c r="Y19" s="27">
        <v>139.0</v>
      </c>
      <c r="Z19" s="27">
        <v>250.0</v>
      </c>
      <c r="AA19" s="9">
        <v>6210.0</v>
      </c>
      <c r="AB19" s="9">
        <v>5175.0</v>
      </c>
      <c r="AC19" s="9">
        <v>39162.0</v>
      </c>
      <c r="AD19" s="9">
        <v>64338.0</v>
      </c>
      <c r="AE19" s="10">
        <v>-0.5953535353535353</v>
      </c>
    </row>
    <row r="20" hidden="1">
      <c r="A20" s="5" t="s">
        <v>51</v>
      </c>
      <c r="B20" s="5" t="s">
        <v>50</v>
      </c>
      <c r="C20" s="5" t="s">
        <v>7</v>
      </c>
      <c r="D20" s="17">
        <v>4500.0</v>
      </c>
      <c r="E20" s="18">
        <v>4.0</v>
      </c>
      <c r="F20" s="6">
        <v>18000.0</v>
      </c>
      <c r="G20" s="5">
        <v>170.0</v>
      </c>
      <c r="H20" s="5">
        <v>88.0</v>
      </c>
      <c r="I20" s="5">
        <v>40.0</v>
      </c>
      <c r="J20" s="5">
        <v>0.0</v>
      </c>
      <c r="K20" s="5">
        <v>0.0</v>
      </c>
      <c r="L20" s="6">
        <v>899.0</v>
      </c>
      <c r="M20" s="6">
        <v>899.0</v>
      </c>
      <c r="N20" s="6">
        <v>1250.0</v>
      </c>
      <c r="O20" s="6">
        <v>833.0</v>
      </c>
      <c r="P20" s="6">
        <v>250.0</v>
      </c>
      <c r="Q20" s="6">
        <v>0.0</v>
      </c>
      <c r="R20" s="23" t="s">
        <v>47</v>
      </c>
      <c r="S20" s="6">
        <v>0.0</v>
      </c>
      <c r="T20" s="6">
        <v>0.0</v>
      </c>
      <c r="U20" s="6">
        <v>0.0</v>
      </c>
      <c r="V20" s="6">
        <v>948.0</v>
      </c>
      <c r="W20" s="6">
        <v>135.0</v>
      </c>
      <c r="X20" s="12" t="s">
        <v>47</v>
      </c>
      <c r="Y20" s="12" t="s">
        <v>47</v>
      </c>
      <c r="Z20" s="12" t="s">
        <v>47</v>
      </c>
      <c r="AA20" s="6">
        <v>1080.0</v>
      </c>
      <c r="AB20" s="6">
        <v>900.0</v>
      </c>
      <c r="AC20" s="6">
        <v>9283.0</v>
      </c>
      <c r="AD20" s="6">
        <v>8717.0</v>
      </c>
      <c r="AE20" s="7">
        <v>-0.5935353535353536</v>
      </c>
    </row>
    <row r="21" ht="26.25" customHeight="1">
      <c r="A21" s="8" t="s">
        <v>51</v>
      </c>
      <c r="B21" s="8" t="s">
        <v>50</v>
      </c>
      <c r="C21" s="8" t="s">
        <v>8</v>
      </c>
      <c r="D21" s="20">
        <v>103500.0</v>
      </c>
      <c r="E21" s="21">
        <v>1.0</v>
      </c>
      <c r="F21" s="9">
        <v>103500.0</v>
      </c>
      <c r="G21" s="8">
        <v>6.0</v>
      </c>
      <c r="H21" s="8">
        <v>10.0</v>
      </c>
      <c r="I21" s="8">
        <v>103.0</v>
      </c>
      <c r="J21" s="8">
        <v>0.0</v>
      </c>
      <c r="K21" s="8">
        <v>35.0</v>
      </c>
      <c r="L21" s="9">
        <v>1038.0</v>
      </c>
      <c r="M21" s="9">
        <v>1038.0</v>
      </c>
      <c r="N21" s="9">
        <v>7315.0</v>
      </c>
      <c r="O21" s="9">
        <v>833.0</v>
      </c>
      <c r="P21" s="9">
        <v>250.0</v>
      </c>
      <c r="Q21" s="9">
        <v>7098.0</v>
      </c>
      <c r="R21" s="22">
        <v>5915.0</v>
      </c>
      <c r="S21" s="9">
        <v>7700.0</v>
      </c>
      <c r="T21" s="9">
        <v>2080.0</v>
      </c>
      <c r="U21" s="9">
        <v>0.0</v>
      </c>
      <c r="V21" s="9">
        <v>1095.0</v>
      </c>
      <c r="W21" s="9">
        <v>156.0</v>
      </c>
      <c r="X21" s="27">
        <v>358.0</v>
      </c>
      <c r="Y21" s="27">
        <v>135.0</v>
      </c>
      <c r="Z21" s="27">
        <v>250.0</v>
      </c>
      <c r="AA21" s="9">
        <v>6210.0</v>
      </c>
      <c r="AB21" s="9">
        <v>5175.0</v>
      </c>
      <c r="AC21" s="9">
        <v>40806.0</v>
      </c>
      <c r="AD21" s="9">
        <v>62694.0</v>
      </c>
      <c r="AE21" s="10">
        <v>-0.5927272727272728</v>
      </c>
    </row>
    <row r="22" ht="15.75" hidden="1" customHeight="1">
      <c r="A22" s="5" t="s">
        <v>52</v>
      </c>
      <c r="B22" s="5" t="s">
        <v>46</v>
      </c>
      <c r="C22" s="5" t="s">
        <v>7</v>
      </c>
      <c r="D22" s="17">
        <v>4500.0</v>
      </c>
      <c r="E22" s="18">
        <v>5.0</v>
      </c>
      <c r="F22" s="6">
        <v>22500.0</v>
      </c>
      <c r="G22" s="5">
        <v>176.0</v>
      </c>
      <c r="H22" s="5">
        <v>91.0</v>
      </c>
      <c r="I22" s="5">
        <v>45.0</v>
      </c>
      <c r="J22" s="5">
        <v>0.0</v>
      </c>
      <c r="K22" s="5">
        <v>0.0</v>
      </c>
      <c r="L22" s="6">
        <v>882.0</v>
      </c>
      <c r="M22" s="6">
        <v>882.0</v>
      </c>
      <c r="N22" s="6">
        <v>1250.0</v>
      </c>
      <c r="O22" s="6">
        <v>833.0</v>
      </c>
      <c r="P22" s="6">
        <v>250.0</v>
      </c>
      <c r="Q22" s="6">
        <v>0.0</v>
      </c>
      <c r="R22" s="23" t="s">
        <v>47</v>
      </c>
      <c r="S22" s="6">
        <v>0.0</v>
      </c>
      <c r="T22" s="6">
        <v>0.0</v>
      </c>
      <c r="U22" s="6">
        <v>0.0</v>
      </c>
      <c r="V22" s="6">
        <v>930.0</v>
      </c>
      <c r="W22" s="6">
        <v>132.0</v>
      </c>
      <c r="X22" s="12" t="s">
        <v>47</v>
      </c>
      <c r="Y22" s="12" t="s">
        <v>47</v>
      </c>
      <c r="Z22" s="12" t="s">
        <v>47</v>
      </c>
      <c r="AA22" s="6">
        <v>1350.0</v>
      </c>
      <c r="AB22" s="6">
        <v>1125.0</v>
      </c>
      <c r="AC22" s="6">
        <v>10089.0</v>
      </c>
      <c r="AD22" s="6">
        <v>12411.0</v>
      </c>
      <c r="AE22" s="7">
        <v>0.17116161616161615</v>
      </c>
    </row>
    <row r="23" ht="26.25" customHeight="1">
      <c r="A23" s="8" t="s">
        <v>52</v>
      </c>
      <c r="B23" s="8" t="s">
        <v>46</v>
      </c>
      <c r="C23" s="8" t="s">
        <v>8</v>
      </c>
      <c r="D23" s="20">
        <v>34500.0</v>
      </c>
      <c r="E23" s="21">
        <v>1.0</v>
      </c>
      <c r="F23" s="9">
        <v>34500.0</v>
      </c>
      <c r="G23" s="8">
        <v>0.0</v>
      </c>
      <c r="H23" s="8">
        <v>10.0</v>
      </c>
      <c r="I23" s="8">
        <v>106.0</v>
      </c>
      <c r="J23" s="8">
        <v>0.0</v>
      </c>
      <c r="K23" s="8">
        <v>12.0</v>
      </c>
      <c r="L23" s="9">
        <v>1003.0</v>
      </c>
      <c r="M23" s="9">
        <v>1003.0</v>
      </c>
      <c r="N23" s="9">
        <v>7528.0</v>
      </c>
      <c r="O23" s="9">
        <v>833.0</v>
      </c>
      <c r="P23" s="9">
        <v>250.0</v>
      </c>
      <c r="Q23" s="9">
        <v>5098.0</v>
      </c>
      <c r="R23" s="22">
        <v>5659.0</v>
      </c>
      <c r="S23" s="9">
        <v>2640.0</v>
      </c>
      <c r="T23" s="9">
        <v>2080.0</v>
      </c>
      <c r="U23" s="9">
        <v>0.0</v>
      </c>
      <c r="V23" s="9">
        <v>1059.0</v>
      </c>
      <c r="W23" s="9">
        <v>151.0</v>
      </c>
      <c r="X23" s="27">
        <v>355.0</v>
      </c>
      <c r="Y23" s="27">
        <v>134.0</v>
      </c>
      <c r="Z23" s="27">
        <v>250.0</v>
      </c>
      <c r="AA23" s="9">
        <v>2070.0</v>
      </c>
      <c r="AB23" s="9">
        <v>1725.0</v>
      </c>
      <c r="AC23" s="9">
        <v>26239.0</v>
      </c>
      <c r="AD23" s="9">
        <v>8261.0</v>
      </c>
      <c r="AE23" s="10">
        <v>0.13297979797979798</v>
      </c>
    </row>
    <row r="24" ht="26.25" hidden="1" customHeight="1">
      <c r="A24" s="11" t="s">
        <v>52</v>
      </c>
      <c r="B24" s="11" t="s">
        <v>46</v>
      </c>
      <c r="C24" s="11" t="s">
        <v>9</v>
      </c>
      <c r="D24" s="24">
        <v>9900.0</v>
      </c>
      <c r="E24" s="25">
        <v>2.0</v>
      </c>
      <c r="F24" s="12">
        <v>19800.0</v>
      </c>
      <c r="G24" s="11">
        <v>0.0</v>
      </c>
      <c r="H24" s="11">
        <v>16.0</v>
      </c>
      <c r="I24" s="11">
        <v>57.0</v>
      </c>
      <c r="J24" s="11">
        <v>43.0</v>
      </c>
      <c r="K24" s="11">
        <v>0.0</v>
      </c>
      <c r="L24" s="12">
        <v>0.0</v>
      </c>
      <c r="M24" s="12">
        <v>1018.0</v>
      </c>
      <c r="N24" s="12">
        <v>3125.0</v>
      </c>
      <c r="O24" s="12">
        <v>833.0</v>
      </c>
      <c r="P24" s="12">
        <v>250.0</v>
      </c>
      <c r="Q24" s="12">
        <v>0.0</v>
      </c>
      <c r="R24" s="26">
        <v>6238.0</v>
      </c>
      <c r="S24" s="12">
        <v>0.0</v>
      </c>
      <c r="T24" s="12">
        <v>347.0</v>
      </c>
      <c r="U24" s="12">
        <v>1500.0</v>
      </c>
      <c r="V24" s="12">
        <v>1074.0</v>
      </c>
      <c r="W24" s="12" t="s">
        <v>47</v>
      </c>
      <c r="X24" s="12" t="s">
        <v>47</v>
      </c>
      <c r="Y24" s="12" t="s">
        <v>47</v>
      </c>
      <c r="Z24" s="12" t="s">
        <v>47</v>
      </c>
      <c r="AA24" s="12">
        <v>1188.0</v>
      </c>
      <c r="AB24" s="12">
        <v>990.0</v>
      </c>
      <c r="AC24" s="12">
        <f>SUM(M24:AB24)</f>
        <v>16563</v>
      </c>
      <c r="AD24" s="12">
        <f>F24-AC24</f>
        <v>3237</v>
      </c>
      <c r="AE24" s="28">
        <f>AD24/F24</f>
        <v>0.1634848485</v>
      </c>
    </row>
    <row r="25" ht="15.75" hidden="1" customHeight="1">
      <c r="A25" s="5" t="s">
        <v>52</v>
      </c>
      <c r="B25" s="5" t="s">
        <v>48</v>
      </c>
      <c r="C25" s="5" t="s">
        <v>7</v>
      </c>
      <c r="D25" s="17">
        <v>4500.0</v>
      </c>
      <c r="E25" s="18">
        <v>4.0</v>
      </c>
      <c r="F25" s="6">
        <v>18000.0</v>
      </c>
      <c r="G25" s="5">
        <v>146.0</v>
      </c>
      <c r="H25" s="5">
        <v>82.0</v>
      </c>
      <c r="I25" s="5">
        <v>41.0</v>
      </c>
      <c r="J25" s="5">
        <v>0.0</v>
      </c>
      <c r="K25" s="5">
        <v>0.0</v>
      </c>
      <c r="L25" s="6">
        <v>979.0</v>
      </c>
      <c r="M25" s="6">
        <v>979.0</v>
      </c>
      <c r="N25" s="6">
        <v>1250.0</v>
      </c>
      <c r="O25" s="6">
        <v>833.0</v>
      </c>
      <c r="P25" s="6">
        <v>250.0</v>
      </c>
      <c r="Q25" s="6">
        <v>0.0</v>
      </c>
      <c r="R25" s="23" t="s">
        <v>47</v>
      </c>
      <c r="S25" s="6">
        <v>0.0</v>
      </c>
      <c r="T25" s="6">
        <v>0.0</v>
      </c>
      <c r="U25" s="6">
        <v>0.0</v>
      </c>
      <c r="V25" s="6">
        <v>1032.0</v>
      </c>
      <c r="W25" s="6">
        <v>147.0</v>
      </c>
      <c r="X25" s="12" t="s">
        <v>47</v>
      </c>
      <c r="Y25" s="12" t="s">
        <v>47</v>
      </c>
      <c r="Z25" s="12" t="s">
        <v>47</v>
      </c>
      <c r="AA25" s="6">
        <v>1080.0</v>
      </c>
      <c r="AB25" s="6">
        <v>900.0</v>
      </c>
      <c r="AC25" s="6">
        <v>9619.0</v>
      </c>
      <c r="AD25" s="6">
        <v>8381.0</v>
      </c>
      <c r="AE25" s="7">
        <v>-0.6276767676767677</v>
      </c>
    </row>
    <row r="26" ht="26.25" customHeight="1">
      <c r="A26" s="8" t="s">
        <v>52</v>
      </c>
      <c r="B26" s="8" t="s">
        <v>48</v>
      </c>
      <c r="C26" s="8" t="s">
        <v>8</v>
      </c>
      <c r="D26" s="20">
        <v>69000.0</v>
      </c>
      <c r="E26" s="21">
        <v>1.0</v>
      </c>
      <c r="F26" s="9">
        <v>69000.0</v>
      </c>
      <c r="G26" s="8">
        <v>7.0</v>
      </c>
      <c r="H26" s="8">
        <v>9.0</v>
      </c>
      <c r="I26" s="8">
        <v>102.0</v>
      </c>
      <c r="J26" s="8">
        <v>0.0</v>
      </c>
      <c r="K26" s="8">
        <v>16.0</v>
      </c>
      <c r="L26" s="9">
        <v>1055.0</v>
      </c>
      <c r="M26" s="9">
        <v>1055.0</v>
      </c>
      <c r="N26" s="9">
        <v>7244.0</v>
      </c>
      <c r="O26" s="9">
        <v>833.0</v>
      </c>
      <c r="P26" s="9">
        <v>250.0</v>
      </c>
      <c r="Q26" s="9">
        <v>6098.0</v>
      </c>
      <c r="R26" s="22">
        <v>5885.0</v>
      </c>
      <c r="S26" s="9">
        <v>3520.0</v>
      </c>
      <c r="T26" s="9">
        <v>2080.0</v>
      </c>
      <c r="U26" s="9">
        <v>0.0</v>
      </c>
      <c r="V26" s="9">
        <v>1113.0</v>
      </c>
      <c r="W26" s="9">
        <v>158.0</v>
      </c>
      <c r="X26" s="27">
        <v>404.0</v>
      </c>
      <c r="Y26" s="27">
        <v>153.0</v>
      </c>
      <c r="Z26" s="27">
        <v>250.0</v>
      </c>
      <c r="AA26" s="9">
        <v>4140.0</v>
      </c>
      <c r="AB26" s="9">
        <v>3450.0</v>
      </c>
      <c r="AC26" s="9">
        <v>31823.0</v>
      </c>
      <c r="AD26" s="9">
        <v>37177.0</v>
      </c>
      <c r="AE26" s="10">
        <v>-0.5482828282828283</v>
      </c>
    </row>
    <row r="27" ht="26.25" hidden="1" customHeight="1">
      <c r="A27" s="11" t="s">
        <v>52</v>
      </c>
      <c r="B27" s="11" t="s">
        <v>48</v>
      </c>
      <c r="C27" s="11" t="s">
        <v>9</v>
      </c>
      <c r="D27" s="24">
        <v>9900.0</v>
      </c>
      <c r="E27" s="25">
        <v>1.0</v>
      </c>
      <c r="F27" s="12">
        <v>9900.0</v>
      </c>
      <c r="G27" s="11">
        <v>0.0</v>
      </c>
      <c r="H27" s="11">
        <v>7.0</v>
      </c>
      <c r="I27" s="11">
        <v>33.0</v>
      </c>
      <c r="J27" s="11">
        <v>26.0</v>
      </c>
      <c r="K27" s="11">
        <v>0.0</v>
      </c>
      <c r="L27" s="12">
        <v>0.0</v>
      </c>
      <c r="M27" s="12">
        <v>924.0</v>
      </c>
      <c r="N27" s="12">
        <v>2344.0</v>
      </c>
      <c r="O27" s="12">
        <v>833.0</v>
      </c>
      <c r="P27" s="12">
        <v>250.0</v>
      </c>
      <c r="Q27" s="12">
        <v>0.0</v>
      </c>
      <c r="R27" s="26">
        <v>5797.0</v>
      </c>
      <c r="S27" s="12">
        <v>0.0</v>
      </c>
      <c r="T27" s="12">
        <v>694.0</v>
      </c>
      <c r="U27" s="12">
        <v>3000.0</v>
      </c>
      <c r="V27" s="12">
        <v>975.0</v>
      </c>
      <c r="W27" s="12" t="s">
        <v>47</v>
      </c>
      <c r="X27" s="12" t="s">
        <v>47</v>
      </c>
      <c r="Y27" s="12" t="s">
        <v>47</v>
      </c>
      <c r="Z27" s="12" t="s">
        <v>47</v>
      </c>
      <c r="AA27" s="12">
        <v>594.0</v>
      </c>
      <c r="AB27" s="12">
        <v>495.0</v>
      </c>
      <c r="AC27" s="12">
        <f>SUM(M27:AB27)</f>
        <v>15906</v>
      </c>
      <c r="AD27" s="12">
        <f>F27-AC27</f>
        <v>-6006</v>
      </c>
      <c r="AE27" s="13">
        <f>AD27/F27</f>
        <v>-0.6066666667</v>
      </c>
    </row>
    <row r="28" ht="15.75" hidden="1" customHeight="1">
      <c r="A28" s="5" t="s">
        <v>52</v>
      </c>
      <c r="B28" s="5" t="s">
        <v>49</v>
      </c>
      <c r="C28" s="5" t="s">
        <v>7</v>
      </c>
      <c r="D28" s="17">
        <v>5400.0</v>
      </c>
      <c r="E28" s="18">
        <v>5.0</v>
      </c>
      <c r="F28" s="6">
        <v>27000.0</v>
      </c>
      <c r="G28" s="5">
        <v>176.0</v>
      </c>
      <c r="H28" s="5">
        <v>92.0</v>
      </c>
      <c r="I28" s="5">
        <v>53.0</v>
      </c>
      <c r="J28" s="5">
        <v>0.0</v>
      </c>
      <c r="K28" s="5">
        <v>0.0</v>
      </c>
      <c r="L28" s="6">
        <v>1037.0</v>
      </c>
      <c r="M28" s="6">
        <v>1037.0</v>
      </c>
      <c r="N28" s="6">
        <v>1250.0</v>
      </c>
      <c r="O28" s="6">
        <v>833.0</v>
      </c>
      <c r="P28" s="6">
        <v>250.0</v>
      </c>
      <c r="Q28" s="6">
        <v>0.0</v>
      </c>
      <c r="R28" s="23" t="s">
        <v>47</v>
      </c>
      <c r="S28" s="6">
        <v>0.0</v>
      </c>
      <c r="T28" s="6">
        <v>0.0</v>
      </c>
      <c r="U28" s="6">
        <v>0.0</v>
      </c>
      <c r="V28" s="6">
        <v>1094.0</v>
      </c>
      <c r="W28" s="6">
        <v>155.0</v>
      </c>
      <c r="X28" s="12" t="s">
        <v>47</v>
      </c>
      <c r="Y28" s="12" t="s">
        <v>47</v>
      </c>
      <c r="Z28" s="12" t="s">
        <v>47</v>
      </c>
      <c r="AA28" s="6">
        <v>1620.0</v>
      </c>
      <c r="AB28" s="6">
        <v>1350.0</v>
      </c>
      <c r="AC28" s="6">
        <v>11343.0</v>
      </c>
      <c r="AD28" s="6">
        <v>15657.0</v>
      </c>
      <c r="AE28" s="7">
        <v>-0.49484848484848487</v>
      </c>
    </row>
    <row r="29" ht="15.75" customHeight="1">
      <c r="A29" s="8" t="s">
        <v>52</v>
      </c>
      <c r="B29" s="8" t="s">
        <v>49</v>
      </c>
      <c r="C29" s="8" t="s">
        <v>8</v>
      </c>
      <c r="D29" s="20">
        <v>34500.0</v>
      </c>
      <c r="E29" s="21">
        <v>1.0</v>
      </c>
      <c r="F29" s="9">
        <v>34500.0</v>
      </c>
      <c r="G29" s="8">
        <v>0.0</v>
      </c>
      <c r="H29" s="8">
        <v>11.0</v>
      </c>
      <c r="I29" s="8">
        <v>94.0</v>
      </c>
      <c r="J29" s="8">
        <v>0.0</v>
      </c>
      <c r="K29" s="8">
        <v>8.0</v>
      </c>
      <c r="L29" s="9">
        <v>978.0</v>
      </c>
      <c r="M29" s="9">
        <v>978.0</v>
      </c>
      <c r="N29" s="9">
        <v>6676.0</v>
      </c>
      <c r="O29" s="9">
        <v>833.0</v>
      </c>
      <c r="P29" s="9">
        <v>250.0</v>
      </c>
      <c r="Q29" s="9">
        <v>5098.0</v>
      </c>
      <c r="R29" s="22">
        <v>5732.0</v>
      </c>
      <c r="S29" s="9">
        <v>1760.0</v>
      </c>
      <c r="T29" s="9">
        <v>2080.0</v>
      </c>
      <c r="U29" s="9">
        <v>0.0</v>
      </c>
      <c r="V29" s="9">
        <v>1031.0</v>
      </c>
      <c r="W29" s="9">
        <v>147.0</v>
      </c>
      <c r="X29" s="27">
        <v>433.0</v>
      </c>
      <c r="Y29" s="27">
        <v>163.0</v>
      </c>
      <c r="Z29" s="27">
        <v>250.0</v>
      </c>
      <c r="AA29" s="9">
        <v>2070.0</v>
      </c>
      <c r="AB29" s="9">
        <v>1725.0</v>
      </c>
      <c r="AC29" s="9">
        <v>24411.0</v>
      </c>
      <c r="AD29" s="9">
        <v>10089.0</v>
      </c>
      <c r="AE29" s="10">
        <v>-0.5824242424242424</v>
      </c>
    </row>
    <row r="30" ht="15.75" hidden="1" customHeight="1">
      <c r="A30" s="5" t="s">
        <v>52</v>
      </c>
      <c r="B30" s="5" t="s">
        <v>50</v>
      </c>
      <c r="C30" s="5" t="s">
        <v>7</v>
      </c>
      <c r="D30" s="17">
        <v>3000.0</v>
      </c>
      <c r="E30" s="18">
        <v>4.0</v>
      </c>
      <c r="F30" s="6">
        <v>12000.0</v>
      </c>
      <c r="G30" s="5">
        <v>169.0</v>
      </c>
      <c r="H30" s="5">
        <v>77.0</v>
      </c>
      <c r="I30" s="5">
        <v>42.0</v>
      </c>
      <c r="J30" s="5">
        <v>0.0</v>
      </c>
      <c r="K30" s="5">
        <v>0.0</v>
      </c>
      <c r="L30" s="6">
        <v>974.0</v>
      </c>
      <c r="M30" s="6">
        <v>974.0</v>
      </c>
      <c r="N30" s="6">
        <v>1250.0</v>
      </c>
      <c r="O30" s="6">
        <v>833.0</v>
      </c>
      <c r="P30" s="6">
        <v>250.0</v>
      </c>
      <c r="Q30" s="6">
        <v>0.0</v>
      </c>
      <c r="R30" s="23" t="s">
        <v>47</v>
      </c>
      <c r="S30" s="6">
        <v>0.0</v>
      </c>
      <c r="T30" s="6">
        <v>0.0</v>
      </c>
      <c r="U30" s="6">
        <v>0.0</v>
      </c>
      <c r="V30" s="6">
        <v>1027.0</v>
      </c>
      <c r="W30" s="6">
        <v>146.0</v>
      </c>
      <c r="X30" s="12" t="s">
        <v>47</v>
      </c>
      <c r="Y30" s="12" t="s">
        <v>47</v>
      </c>
      <c r="Z30" s="12" t="s">
        <v>47</v>
      </c>
      <c r="AA30" s="6">
        <v>720.0</v>
      </c>
      <c r="AB30" s="6">
        <v>600.0</v>
      </c>
      <c r="AC30" s="6">
        <v>9911.0</v>
      </c>
      <c r="AD30" s="6">
        <v>2089.0</v>
      </c>
      <c r="AE30" s="7">
        <v>-0.574040404040404</v>
      </c>
    </row>
    <row r="31" ht="26.25" customHeight="1">
      <c r="A31" s="8" t="s">
        <v>52</v>
      </c>
      <c r="B31" s="8" t="s">
        <v>50</v>
      </c>
      <c r="C31" s="8" t="s">
        <v>8</v>
      </c>
      <c r="D31" s="20">
        <v>69000.0</v>
      </c>
      <c r="E31" s="21">
        <v>1.0</v>
      </c>
      <c r="F31" s="9">
        <v>69000.0</v>
      </c>
      <c r="G31" s="8">
        <v>7.0</v>
      </c>
      <c r="H31" s="8">
        <v>9.0</v>
      </c>
      <c r="I31" s="8">
        <v>95.0</v>
      </c>
      <c r="J31" s="8">
        <v>0.0</v>
      </c>
      <c r="K31" s="8">
        <v>15.0</v>
      </c>
      <c r="L31" s="9">
        <v>1068.0</v>
      </c>
      <c r="M31" s="9">
        <v>1068.0</v>
      </c>
      <c r="N31" s="9">
        <v>6747.0</v>
      </c>
      <c r="O31" s="9">
        <v>833.0</v>
      </c>
      <c r="P31" s="9">
        <v>250.0</v>
      </c>
      <c r="Q31" s="9">
        <v>6098.0</v>
      </c>
      <c r="R31" s="22">
        <v>5442.0</v>
      </c>
      <c r="S31" s="9">
        <v>3300.0</v>
      </c>
      <c r="T31" s="9">
        <v>2080.0</v>
      </c>
      <c r="U31" s="9">
        <v>0.0</v>
      </c>
      <c r="V31" s="9">
        <v>1127.0</v>
      </c>
      <c r="W31" s="9">
        <v>160.0</v>
      </c>
      <c r="X31" s="29">
        <v>385.0</v>
      </c>
      <c r="Y31" s="29">
        <v>146.0</v>
      </c>
      <c r="Z31" s="29">
        <v>250.0</v>
      </c>
      <c r="AA31" s="9">
        <v>4140.0</v>
      </c>
      <c r="AB31" s="9">
        <v>3450.0</v>
      </c>
      <c r="AC31" s="9">
        <v>31155.0</v>
      </c>
      <c r="AD31" s="9">
        <v>37845.0</v>
      </c>
      <c r="AE31" s="10">
        <v>-0.638080808080808</v>
      </c>
    </row>
    <row r="32" ht="15.75" hidden="1" customHeight="1">
      <c r="A32" s="5" t="s">
        <v>53</v>
      </c>
      <c r="B32" s="5" t="s">
        <v>46</v>
      </c>
      <c r="C32" s="5" t="s">
        <v>7</v>
      </c>
      <c r="D32" s="17">
        <v>5400.0</v>
      </c>
      <c r="E32" s="18">
        <v>4.0</v>
      </c>
      <c r="F32" s="6">
        <v>21600.0</v>
      </c>
      <c r="G32" s="5">
        <v>163.0</v>
      </c>
      <c r="H32" s="5">
        <v>73.0</v>
      </c>
      <c r="I32" s="5">
        <v>37.0</v>
      </c>
      <c r="J32" s="5">
        <v>0.0</v>
      </c>
      <c r="K32" s="5">
        <v>0.0</v>
      </c>
      <c r="L32" s="6">
        <v>1106.0</v>
      </c>
      <c r="M32" s="6">
        <v>1106.0</v>
      </c>
      <c r="N32" s="6">
        <v>1250.0</v>
      </c>
      <c r="O32" s="6">
        <v>833.0</v>
      </c>
      <c r="P32" s="6">
        <v>250.0</v>
      </c>
      <c r="Q32" s="6">
        <v>0.0</v>
      </c>
      <c r="R32" s="23" t="s">
        <v>47</v>
      </c>
      <c r="S32" s="6">
        <v>0.0</v>
      </c>
      <c r="T32" s="6">
        <v>0.0</v>
      </c>
      <c r="U32" s="6">
        <v>0.0</v>
      </c>
      <c r="V32" s="6">
        <v>1167.0</v>
      </c>
      <c r="W32" s="6">
        <v>166.0</v>
      </c>
      <c r="X32" s="12" t="s">
        <v>47</v>
      </c>
      <c r="Y32" s="12" t="s">
        <v>47</v>
      </c>
      <c r="Z32" s="12" t="s">
        <v>47</v>
      </c>
      <c r="AA32" s="6">
        <v>1296.0</v>
      </c>
      <c r="AB32" s="6">
        <v>1080.0</v>
      </c>
      <c r="AC32" s="6">
        <v>11679.0</v>
      </c>
      <c r="AD32" s="6">
        <v>9921.0</v>
      </c>
      <c r="AE32" s="7">
        <v>-0.6246464646464647</v>
      </c>
    </row>
    <row r="33" ht="26.25" customHeight="1">
      <c r="A33" s="8" t="s">
        <v>53</v>
      </c>
      <c r="B33" s="8" t="s">
        <v>46</v>
      </c>
      <c r="C33" s="8" t="s">
        <v>8</v>
      </c>
      <c r="D33" s="20">
        <v>34500.0</v>
      </c>
      <c r="E33" s="21">
        <v>1.0</v>
      </c>
      <c r="F33" s="9">
        <v>34500.0</v>
      </c>
      <c r="G33" s="8">
        <v>8.0</v>
      </c>
      <c r="H33" s="8">
        <v>10.0</v>
      </c>
      <c r="I33" s="8">
        <v>97.0</v>
      </c>
      <c r="J33" s="8">
        <v>0.0</v>
      </c>
      <c r="K33" s="8">
        <v>9.0</v>
      </c>
      <c r="L33" s="9">
        <v>1016.0</v>
      </c>
      <c r="M33" s="9">
        <v>1016.0</v>
      </c>
      <c r="N33" s="9">
        <v>6889.0</v>
      </c>
      <c r="O33" s="9">
        <v>833.0</v>
      </c>
      <c r="P33" s="9">
        <v>250.0</v>
      </c>
      <c r="Q33" s="9">
        <v>5098.0</v>
      </c>
      <c r="R33" s="22">
        <v>5228.0</v>
      </c>
      <c r="S33" s="9">
        <v>1980.0</v>
      </c>
      <c r="T33" s="9">
        <v>2080.0</v>
      </c>
      <c r="U33" s="9">
        <v>0.0</v>
      </c>
      <c r="V33" s="9">
        <v>1072.0</v>
      </c>
      <c r="W33" s="9">
        <v>152.0</v>
      </c>
      <c r="X33" s="9">
        <v>403.0</v>
      </c>
      <c r="Y33" s="9">
        <v>152.0</v>
      </c>
      <c r="Z33" s="9">
        <v>250.0</v>
      </c>
      <c r="AA33" s="9">
        <v>2070.0</v>
      </c>
      <c r="AB33" s="9">
        <v>1725.0</v>
      </c>
      <c r="AC33" s="9">
        <v>24986.0</v>
      </c>
      <c r="AD33" s="9">
        <v>9514.0</v>
      </c>
      <c r="AE33" s="10">
        <v>0.275768115942029</v>
      </c>
    </row>
    <row r="34" ht="15.75" hidden="1" customHeight="1">
      <c r="A34" s="5" t="s">
        <v>53</v>
      </c>
      <c r="B34" s="5" t="s">
        <v>48</v>
      </c>
      <c r="C34" s="5" t="s">
        <v>7</v>
      </c>
      <c r="D34" s="17">
        <v>5400.0</v>
      </c>
      <c r="E34" s="18">
        <v>4.0</v>
      </c>
      <c r="F34" s="6">
        <v>21600.0</v>
      </c>
      <c r="G34" s="5">
        <v>159.0</v>
      </c>
      <c r="H34" s="5">
        <v>87.0</v>
      </c>
      <c r="I34" s="5">
        <v>43.0</v>
      </c>
      <c r="J34" s="5">
        <v>0.0</v>
      </c>
      <c r="K34" s="5">
        <v>0.0</v>
      </c>
      <c r="L34" s="6">
        <v>911.0</v>
      </c>
      <c r="M34" s="6">
        <v>911.0</v>
      </c>
      <c r="N34" s="6">
        <v>1250.0</v>
      </c>
      <c r="O34" s="6">
        <v>833.0</v>
      </c>
      <c r="P34" s="6">
        <v>250.0</v>
      </c>
      <c r="Q34" s="6">
        <v>0.0</v>
      </c>
      <c r="R34" s="23" t="s">
        <v>47</v>
      </c>
      <c r="S34" s="6">
        <v>0.0</v>
      </c>
      <c r="T34" s="6">
        <v>0.0</v>
      </c>
      <c r="U34" s="6">
        <v>0.0</v>
      </c>
      <c r="V34" s="6">
        <v>962.0</v>
      </c>
      <c r="W34" s="6">
        <v>137.0</v>
      </c>
      <c r="X34" s="6">
        <v>362.0</v>
      </c>
      <c r="Y34" s="6">
        <v>547.0</v>
      </c>
      <c r="Z34" s="6">
        <v>125.0</v>
      </c>
      <c r="AA34" s="6">
        <v>1296.0</v>
      </c>
      <c r="AB34" s="6">
        <v>1080.0</v>
      </c>
      <c r="AC34" s="6">
        <v>9588.0</v>
      </c>
      <c r="AD34" s="6">
        <v>12012.0</v>
      </c>
      <c r="AE34" s="7">
        <v>0.556111111111111</v>
      </c>
    </row>
    <row r="35" ht="26.25" customHeight="1">
      <c r="A35" s="8" t="s">
        <v>53</v>
      </c>
      <c r="B35" s="8" t="s">
        <v>48</v>
      </c>
      <c r="C35" s="8" t="s">
        <v>8</v>
      </c>
      <c r="D35" s="20">
        <v>69000.0</v>
      </c>
      <c r="E35" s="21">
        <v>1.0</v>
      </c>
      <c r="F35" s="9">
        <v>69000.0</v>
      </c>
      <c r="G35" s="8">
        <v>7.0</v>
      </c>
      <c r="H35" s="8">
        <v>10.0</v>
      </c>
      <c r="I35" s="8">
        <v>101.0</v>
      </c>
      <c r="J35" s="8">
        <v>0.0</v>
      </c>
      <c r="K35" s="8">
        <v>16.0</v>
      </c>
      <c r="L35" s="9">
        <v>1029.0</v>
      </c>
      <c r="M35" s="9">
        <v>1029.0</v>
      </c>
      <c r="N35" s="9">
        <v>7173.0</v>
      </c>
      <c r="O35" s="9">
        <v>833.0</v>
      </c>
      <c r="P35" s="9">
        <v>250.0</v>
      </c>
      <c r="Q35" s="9">
        <v>6098.0</v>
      </c>
      <c r="R35" s="22">
        <v>5372.0</v>
      </c>
      <c r="S35" s="9">
        <v>3520.0</v>
      </c>
      <c r="T35" s="9">
        <v>2080.0</v>
      </c>
      <c r="U35" s="9">
        <v>0.0</v>
      </c>
      <c r="V35" s="9">
        <v>1086.0</v>
      </c>
      <c r="W35" s="9">
        <v>154.0</v>
      </c>
      <c r="X35" s="9">
        <v>409.0</v>
      </c>
      <c r="Y35" s="9">
        <v>154.0</v>
      </c>
      <c r="Z35" s="9">
        <v>250.0</v>
      </c>
      <c r="AA35" s="9">
        <v>4140.0</v>
      </c>
      <c r="AB35" s="9">
        <v>3450.0</v>
      </c>
      <c r="AC35" s="9">
        <v>31655.0</v>
      </c>
      <c r="AD35" s="9">
        <v>37345.0</v>
      </c>
      <c r="AE35" s="10">
        <v>0.541231884057971</v>
      </c>
    </row>
    <row r="36" ht="15.75" hidden="1" customHeight="1">
      <c r="A36" s="5" t="s">
        <v>53</v>
      </c>
      <c r="B36" s="5" t="s">
        <v>49</v>
      </c>
      <c r="C36" s="5" t="s">
        <v>7</v>
      </c>
      <c r="D36" s="17">
        <v>10000.0</v>
      </c>
      <c r="E36" s="18">
        <v>4.0</v>
      </c>
      <c r="F36" s="6">
        <v>40000.0</v>
      </c>
      <c r="G36" s="5">
        <v>152.0</v>
      </c>
      <c r="H36" s="5">
        <v>77.0</v>
      </c>
      <c r="I36" s="5">
        <v>40.0</v>
      </c>
      <c r="J36" s="5">
        <v>0.0</v>
      </c>
      <c r="K36" s="5">
        <v>0.0</v>
      </c>
      <c r="L36" s="6">
        <v>964.0</v>
      </c>
      <c r="M36" s="6">
        <v>964.0</v>
      </c>
      <c r="N36" s="6">
        <v>1250.0</v>
      </c>
      <c r="O36" s="6">
        <v>833.0</v>
      </c>
      <c r="P36" s="6">
        <v>250.0</v>
      </c>
      <c r="Q36" s="6">
        <v>0.0</v>
      </c>
      <c r="R36" s="23" t="s">
        <v>47</v>
      </c>
      <c r="S36" s="6">
        <v>0.0</v>
      </c>
      <c r="T36" s="6">
        <v>0.0</v>
      </c>
      <c r="U36" s="6">
        <v>0.0</v>
      </c>
      <c r="V36" s="6">
        <v>1017.0</v>
      </c>
      <c r="W36" s="6">
        <v>145.0</v>
      </c>
      <c r="X36" s="6">
        <v>383.0</v>
      </c>
      <c r="Y36" s="6">
        <v>578.0</v>
      </c>
      <c r="Z36" s="6">
        <v>125.0</v>
      </c>
      <c r="AA36" s="6">
        <v>2400.0</v>
      </c>
      <c r="AB36" s="6">
        <v>2000.0</v>
      </c>
      <c r="AC36" s="6">
        <v>12658.0</v>
      </c>
      <c r="AD36" s="6">
        <v>27342.0</v>
      </c>
      <c r="AE36" s="7">
        <v>0.68355</v>
      </c>
    </row>
    <row r="37" ht="15.75" customHeight="1">
      <c r="A37" s="8" t="s">
        <v>53</v>
      </c>
      <c r="B37" s="8" t="s">
        <v>49</v>
      </c>
      <c r="C37" s="8" t="s">
        <v>8</v>
      </c>
      <c r="D37" s="20">
        <v>103500.0</v>
      </c>
      <c r="E37" s="21">
        <v>1.0</v>
      </c>
      <c r="F37" s="9">
        <v>103500.0</v>
      </c>
      <c r="G37" s="8">
        <v>8.0</v>
      </c>
      <c r="H37" s="8">
        <v>10.0</v>
      </c>
      <c r="I37" s="8">
        <v>104.0</v>
      </c>
      <c r="J37" s="8">
        <v>0.0</v>
      </c>
      <c r="K37" s="8">
        <v>31.0</v>
      </c>
      <c r="L37" s="9">
        <v>953.0</v>
      </c>
      <c r="M37" s="9">
        <v>953.0</v>
      </c>
      <c r="N37" s="9">
        <v>7386.0</v>
      </c>
      <c r="O37" s="9">
        <v>833.0</v>
      </c>
      <c r="P37" s="9">
        <v>250.0</v>
      </c>
      <c r="Q37" s="9">
        <v>7098.0</v>
      </c>
      <c r="R37" s="22">
        <v>5573.0</v>
      </c>
      <c r="S37" s="9">
        <v>6820.0</v>
      </c>
      <c r="T37" s="9">
        <v>2080.0</v>
      </c>
      <c r="U37" s="9">
        <v>0.0</v>
      </c>
      <c r="V37" s="9">
        <v>1005.0</v>
      </c>
      <c r="W37" s="9">
        <v>143.0</v>
      </c>
      <c r="X37" s="9">
        <v>378.0</v>
      </c>
      <c r="Y37" s="9">
        <v>143.0</v>
      </c>
      <c r="Z37" s="9">
        <v>250.0</v>
      </c>
      <c r="AA37" s="9">
        <v>6210.0</v>
      </c>
      <c r="AB37" s="9">
        <v>5175.0</v>
      </c>
      <c r="AC37" s="9">
        <v>39677.0</v>
      </c>
      <c r="AD37" s="9">
        <v>63823.0</v>
      </c>
      <c r="AE37" s="10">
        <v>0.616647342995169</v>
      </c>
    </row>
    <row r="38" ht="15.75" hidden="1" customHeight="1">
      <c r="A38" s="5" t="s">
        <v>53</v>
      </c>
      <c r="B38" s="5" t="s">
        <v>50</v>
      </c>
      <c r="C38" s="5" t="s">
        <v>7</v>
      </c>
      <c r="D38" s="17">
        <v>10000.0</v>
      </c>
      <c r="E38" s="18">
        <v>4.0</v>
      </c>
      <c r="F38" s="6">
        <v>40000.0</v>
      </c>
      <c r="G38" s="5">
        <v>172.0</v>
      </c>
      <c r="H38" s="5">
        <v>76.0</v>
      </c>
      <c r="I38" s="5">
        <v>43.0</v>
      </c>
      <c r="J38" s="5">
        <v>0.0</v>
      </c>
      <c r="K38" s="5">
        <v>0.0</v>
      </c>
      <c r="L38" s="6">
        <v>1104.0</v>
      </c>
      <c r="M38" s="6">
        <v>1104.0</v>
      </c>
      <c r="N38" s="6">
        <v>1250.0</v>
      </c>
      <c r="O38" s="6">
        <v>833.0</v>
      </c>
      <c r="P38" s="6">
        <v>250.0</v>
      </c>
      <c r="Q38" s="6">
        <v>0.0</v>
      </c>
      <c r="R38" s="23" t="s">
        <v>47</v>
      </c>
      <c r="S38" s="6">
        <v>0.0</v>
      </c>
      <c r="T38" s="6">
        <v>0.0</v>
      </c>
      <c r="U38" s="6">
        <v>0.0</v>
      </c>
      <c r="V38" s="6">
        <v>1164.0</v>
      </c>
      <c r="W38" s="6">
        <v>166.0</v>
      </c>
      <c r="X38" s="6">
        <v>438.0</v>
      </c>
      <c r="Y38" s="6">
        <v>662.0</v>
      </c>
      <c r="Z38" s="6">
        <v>125.0</v>
      </c>
      <c r="AA38" s="6">
        <v>2400.0</v>
      </c>
      <c r="AB38" s="6">
        <v>2000.0</v>
      </c>
      <c r="AC38" s="6">
        <v>13829.0</v>
      </c>
      <c r="AD38" s="6">
        <v>26171.0</v>
      </c>
      <c r="AE38" s="7">
        <v>0.654275</v>
      </c>
    </row>
    <row r="39" ht="26.25" customHeight="1">
      <c r="A39" s="8" t="s">
        <v>53</v>
      </c>
      <c r="B39" s="8" t="s">
        <v>50</v>
      </c>
      <c r="C39" s="8" t="s">
        <v>8</v>
      </c>
      <c r="D39" s="20">
        <v>34500.0</v>
      </c>
      <c r="E39" s="21">
        <v>1.0</v>
      </c>
      <c r="F39" s="9">
        <v>34500.0</v>
      </c>
      <c r="G39" s="8">
        <v>4.0</v>
      </c>
      <c r="H39" s="8">
        <v>10.0</v>
      </c>
      <c r="I39" s="8">
        <v>105.0</v>
      </c>
      <c r="J39" s="8">
        <v>0.0</v>
      </c>
      <c r="K39" s="8">
        <v>11.0</v>
      </c>
      <c r="L39" s="9">
        <v>917.0</v>
      </c>
      <c r="M39" s="9">
        <v>917.0</v>
      </c>
      <c r="N39" s="9">
        <v>7457.0</v>
      </c>
      <c r="O39" s="9">
        <v>833.0</v>
      </c>
      <c r="P39" s="9">
        <v>250.0</v>
      </c>
      <c r="Q39" s="9">
        <v>5098.0</v>
      </c>
      <c r="R39" s="22">
        <v>5415.0</v>
      </c>
      <c r="S39" s="9">
        <v>2420.0</v>
      </c>
      <c r="T39" s="9">
        <v>2080.0</v>
      </c>
      <c r="U39" s="9">
        <v>0.0</v>
      </c>
      <c r="V39" s="9">
        <v>968.0</v>
      </c>
      <c r="W39" s="9">
        <v>138.0</v>
      </c>
      <c r="X39" s="9">
        <v>364.0</v>
      </c>
      <c r="Y39" s="9">
        <v>138.0</v>
      </c>
      <c r="Z39" s="9">
        <v>250.0</v>
      </c>
      <c r="AA39" s="9">
        <v>2070.0</v>
      </c>
      <c r="AB39" s="9">
        <v>1725.0</v>
      </c>
      <c r="AC39" s="9">
        <v>25625.0</v>
      </c>
      <c r="AD39" s="9">
        <v>8875.0</v>
      </c>
      <c r="AE39" s="10">
        <v>0.257246376811594</v>
      </c>
    </row>
    <row r="40" ht="15.75" hidden="1" customHeight="1">
      <c r="A40" s="5" t="s">
        <v>54</v>
      </c>
      <c r="B40" s="5" t="s">
        <v>46</v>
      </c>
      <c r="C40" s="5" t="s">
        <v>7</v>
      </c>
      <c r="D40" s="17">
        <v>3000.0</v>
      </c>
      <c r="E40" s="18">
        <v>4.0</v>
      </c>
      <c r="F40" s="6">
        <v>12000.0</v>
      </c>
      <c r="G40" s="5">
        <v>166.0</v>
      </c>
      <c r="H40" s="5">
        <v>74.0</v>
      </c>
      <c r="I40" s="5">
        <v>36.0</v>
      </c>
      <c r="J40" s="5">
        <v>0.0</v>
      </c>
      <c r="K40" s="5">
        <v>0.0</v>
      </c>
      <c r="L40" s="6">
        <v>907.0</v>
      </c>
      <c r="M40" s="6">
        <v>907.0</v>
      </c>
      <c r="N40" s="6">
        <v>1250.0</v>
      </c>
      <c r="O40" s="6">
        <v>833.0</v>
      </c>
      <c r="P40" s="6">
        <v>250.0</v>
      </c>
      <c r="Q40" s="6">
        <v>0.0</v>
      </c>
      <c r="R40" s="23" t="s">
        <v>47</v>
      </c>
      <c r="S40" s="6">
        <v>0.0</v>
      </c>
      <c r="T40" s="6">
        <v>0.0</v>
      </c>
      <c r="U40" s="6">
        <v>0.0</v>
      </c>
      <c r="V40" s="6">
        <v>957.0</v>
      </c>
      <c r="W40" s="6">
        <v>136.0</v>
      </c>
      <c r="X40" s="6">
        <v>360.0</v>
      </c>
      <c r="Y40" s="6">
        <v>544.0</v>
      </c>
      <c r="Z40" s="6">
        <v>125.0</v>
      </c>
      <c r="AA40" s="6">
        <v>720.0</v>
      </c>
      <c r="AB40" s="6">
        <v>600.0</v>
      </c>
      <c r="AC40" s="6">
        <v>8998.0</v>
      </c>
      <c r="AD40" s="6">
        <v>3002.0</v>
      </c>
      <c r="AE40" s="7">
        <v>0.250166666666667</v>
      </c>
    </row>
    <row r="41" ht="26.25" customHeight="1">
      <c r="A41" s="8" t="s">
        <v>54</v>
      </c>
      <c r="B41" s="8" t="s">
        <v>46</v>
      </c>
      <c r="C41" s="8" t="s">
        <v>8</v>
      </c>
      <c r="D41" s="20">
        <v>34500.0</v>
      </c>
      <c r="E41" s="21">
        <v>1.0</v>
      </c>
      <c r="F41" s="9">
        <v>34500.0</v>
      </c>
      <c r="G41" s="8">
        <v>7.0</v>
      </c>
      <c r="H41" s="8">
        <v>10.0</v>
      </c>
      <c r="I41" s="8">
        <v>110.0</v>
      </c>
      <c r="J41" s="8">
        <v>0.0</v>
      </c>
      <c r="K41" s="8">
        <v>12.0</v>
      </c>
      <c r="L41" s="9">
        <v>1013.0</v>
      </c>
      <c r="M41" s="9">
        <v>1013.0</v>
      </c>
      <c r="N41" s="9">
        <v>7812.0</v>
      </c>
      <c r="O41" s="9">
        <v>833.0</v>
      </c>
      <c r="P41" s="9">
        <v>250.0</v>
      </c>
      <c r="Q41" s="9">
        <v>5098.0</v>
      </c>
      <c r="R41" s="22">
        <v>5972.0</v>
      </c>
      <c r="S41" s="9">
        <v>2640.0</v>
      </c>
      <c r="T41" s="9">
        <v>2080.0</v>
      </c>
      <c r="U41" s="9">
        <v>0.0</v>
      </c>
      <c r="V41" s="9">
        <v>1068.0</v>
      </c>
      <c r="W41" s="9">
        <v>152.0</v>
      </c>
      <c r="X41" s="9">
        <v>402.0</v>
      </c>
      <c r="Y41" s="9">
        <v>152.0</v>
      </c>
      <c r="Z41" s="9">
        <v>250.0</v>
      </c>
      <c r="AA41" s="9">
        <v>2070.0</v>
      </c>
      <c r="AB41" s="9">
        <v>1725.0</v>
      </c>
      <c r="AC41" s="9">
        <v>26558.0</v>
      </c>
      <c r="AD41" s="9">
        <v>7942.0</v>
      </c>
      <c r="AE41" s="10">
        <v>0.230202898550725</v>
      </c>
    </row>
    <row r="42" ht="15.75" hidden="1" customHeight="1">
      <c r="A42" s="5" t="s">
        <v>54</v>
      </c>
      <c r="B42" s="5" t="s">
        <v>48</v>
      </c>
      <c r="C42" s="5" t="s">
        <v>7</v>
      </c>
      <c r="D42" s="17">
        <v>8000.0</v>
      </c>
      <c r="E42" s="18">
        <v>4.0</v>
      </c>
      <c r="F42" s="6">
        <v>32000.0</v>
      </c>
      <c r="G42" s="5">
        <v>166.0</v>
      </c>
      <c r="H42" s="5">
        <v>83.0</v>
      </c>
      <c r="I42" s="5">
        <v>39.0</v>
      </c>
      <c r="J42" s="5">
        <v>0.0</v>
      </c>
      <c r="K42" s="5">
        <v>0.0</v>
      </c>
      <c r="L42" s="6">
        <v>890.0</v>
      </c>
      <c r="M42" s="6">
        <v>890.0</v>
      </c>
      <c r="N42" s="6">
        <v>1250.0</v>
      </c>
      <c r="O42" s="6">
        <v>833.0</v>
      </c>
      <c r="P42" s="6">
        <v>250.0</v>
      </c>
      <c r="Q42" s="6">
        <v>0.0</v>
      </c>
      <c r="R42" s="23" t="s">
        <v>47</v>
      </c>
      <c r="S42" s="6">
        <v>0.0</v>
      </c>
      <c r="T42" s="6">
        <v>0.0</v>
      </c>
      <c r="U42" s="6">
        <v>0.0</v>
      </c>
      <c r="V42" s="6">
        <v>939.0</v>
      </c>
      <c r="W42" s="6">
        <v>133.0</v>
      </c>
      <c r="X42" s="6">
        <v>353.0</v>
      </c>
      <c r="Y42" s="6">
        <v>534.0</v>
      </c>
      <c r="Z42" s="6">
        <v>125.0</v>
      </c>
      <c r="AA42" s="6">
        <v>1920.0</v>
      </c>
      <c r="AB42" s="6">
        <v>1600.0</v>
      </c>
      <c r="AC42" s="6">
        <v>11354.0</v>
      </c>
      <c r="AD42" s="6">
        <v>20646.0</v>
      </c>
      <c r="AE42" s="7">
        <v>0.6451875</v>
      </c>
    </row>
    <row r="43" ht="26.25" customHeight="1">
      <c r="A43" s="8" t="s">
        <v>54</v>
      </c>
      <c r="B43" s="8" t="s">
        <v>48</v>
      </c>
      <c r="C43" s="8" t="s">
        <v>8</v>
      </c>
      <c r="D43" s="20">
        <v>103500.0</v>
      </c>
      <c r="E43" s="21">
        <v>1.0</v>
      </c>
      <c r="F43" s="9">
        <v>103500.0</v>
      </c>
      <c r="G43" s="8">
        <v>8.0</v>
      </c>
      <c r="H43" s="8">
        <v>11.0</v>
      </c>
      <c r="I43" s="8">
        <v>96.0</v>
      </c>
      <c r="J43" s="8">
        <v>0.0</v>
      </c>
      <c r="K43" s="8">
        <v>27.0</v>
      </c>
      <c r="L43" s="9">
        <v>1090.0</v>
      </c>
      <c r="M43" s="9">
        <v>1090.0</v>
      </c>
      <c r="N43" s="9">
        <v>6818.0</v>
      </c>
      <c r="O43" s="9">
        <v>833.0</v>
      </c>
      <c r="P43" s="9">
        <v>250.0</v>
      </c>
      <c r="Q43" s="9">
        <v>7098.0</v>
      </c>
      <c r="R43" s="22">
        <v>5183.0</v>
      </c>
      <c r="S43" s="9">
        <v>5940.0</v>
      </c>
      <c r="T43" s="9">
        <v>2080.0</v>
      </c>
      <c r="U43" s="9">
        <v>0.0</v>
      </c>
      <c r="V43" s="9">
        <v>1150.0</v>
      </c>
      <c r="W43" s="9">
        <v>163.0</v>
      </c>
      <c r="X43" s="9">
        <v>433.0</v>
      </c>
      <c r="Y43" s="9">
        <v>163.0</v>
      </c>
      <c r="Z43" s="9">
        <v>250.0</v>
      </c>
      <c r="AA43" s="9">
        <v>6210.0</v>
      </c>
      <c r="AB43" s="9">
        <v>5175.0</v>
      </c>
      <c r="AC43" s="9">
        <v>38743.0</v>
      </c>
      <c r="AD43" s="9">
        <v>64757.0</v>
      </c>
      <c r="AE43" s="10">
        <v>0.625671497584541</v>
      </c>
    </row>
    <row r="44" ht="15.75" hidden="1" customHeight="1">
      <c r="A44" s="5" t="s">
        <v>54</v>
      </c>
      <c r="B44" s="5" t="s">
        <v>49</v>
      </c>
      <c r="C44" s="5" t="s">
        <v>7</v>
      </c>
      <c r="D44" s="17">
        <v>8000.0</v>
      </c>
      <c r="E44" s="18">
        <v>4.0</v>
      </c>
      <c r="F44" s="6">
        <v>32000.0</v>
      </c>
      <c r="G44" s="5">
        <v>157.0</v>
      </c>
      <c r="H44" s="5">
        <v>75.0</v>
      </c>
      <c r="I44" s="5">
        <v>43.0</v>
      </c>
      <c r="J44" s="5">
        <v>0.0</v>
      </c>
      <c r="K44" s="5">
        <v>0.0</v>
      </c>
      <c r="L44" s="6">
        <v>1072.0</v>
      </c>
      <c r="M44" s="6">
        <v>1072.0</v>
      </c>
      <c r="N44" s="6">
        <v>1250.0</v>
      </c>
      <c r="O44" s="6">
        <v>833.0</v>
      </c>
      <c r="P44" s="6">
        <v>250.0</v>
      </c>
      <c r="Q44" s="6">
        <v>0.0</v>
      </c>
      <c r="R44" s="23" t="s">
        <v>47</v>
      </c>
      <c r="S44" s="6">
        <v>0.0</v>
      </c>
      <c r="T44" s="6">
        <v>0.0</v>
      </c>
      <c r="U44" s="6">
        <v>0.0</v>
      </c>
      <c r="V44" s="6">
        <v>1131.0</v>
      </c>
      <c r="W44" s="6">
        <v>161.0</v>
      </c>
      <c r="X44" s="6">
        <v>426.0</v>
      </c>
      <c r="Y44" s="6">
        <v>643.0</v>
      </c>
      <c r="Z44" s="6">
        <v>125.0</v>
      </c>
      <c r="AA44" s="6">
        <v>1920.0</v>
      </c>
      <c r="AB44" s="6">
        <v>1600.0</v>
      </c>
      <c r="AC44" s="6">
        <v>12813.0</v>
      </c>
      <c r="AD44" s="6">
        <v>19187.0</v>
      </c>
      <c r="AE44" s="7">
        <v>0.59959375</v>
      </c>
    </row>
    <row r="45" ht="15.75" customHeight="1">
      <c r="A45" s="8" t="s">
        <v>54</v>
      </c>
      <c r="B45" s="8" t="s">
        <v>49</v>
      </c>
      <c r="C45" s="8" t="s">
        <v>8</v>
      </c>
      <c r="D45" s="20">
        <v>69000.0</v>
      </c>
      <c r="E45" s="21">
        <v>1.0</v>
      </c>
      <c r="F45" s="9">
        <v>69000.0</v>
      </c>
      <c r="G45" s="8">
        <v>8.0</v>
      </c>
      <c r="H45" s="8">
        <v>9.0</v>
      </c>
      <c r="I45" s="8">
        <v>94.0</v>
      </c>
      <c r="J45" s="8">
        <v>0.0</v>
      </c>
      <c r="K45" s="8">
        <v>19.0</v>
      </c>
      <c r="L45" s="9">
        <v>979.0</v>
      </c>
      <c r="M45" s="9">
        <v>979.0</v>
      </c>
      <c r="N45" s="9">
        <v>6676.0</v>
      </c>
      <c r="O45" s="9">
        <v>833.0</v>
      </c>
      <c r="P45" s="9">
        <v>250.0</v>
      </c>
      <c r="Q45" s="9">
        <v>6098.0</v>
      </c>
      <c r="R45" s="22">
        <v>5786.0</v>
      </c>
      <c r="S45" s="9">
        <v>4180.0</v>
      </c>
      <c r="T45" s="9">
        <v>2080.0</v>
      </c>
      <c r="U45" s="9">
        <v>0.0</v>
      </c>
      <c r="V45" s="9">
        <v>1033.0</v>
      </c>
      <c r="W45" s="9">
        <v>147.0</v>
      </c>
      <c r="X45" s="9">
        <v>389.0</v>
      </c>
      <c r="Y45" s="9">
        <v>147.0</v>
      </c>
      <c r="Z45" s="9">
        <v>250.0</v>
      </c>
      <c r="AA45" s="9">
        <v>4140.0</v>
      </c>
      <c r="AB45" s="9">
        <v>3450.0</v>
      </c>
      <c r="AC45" s="9">
        <v>31631.0</v>
      </c>
      <c r="AD45" s="9">
        <v>37369.0</v>
      </c>
      <c r="AE45" s="10">
        <v>0.541579710144928</v>
      </c>
    </row>
    <row r="46" ht="15.75" hidden="1" customHeight="1">
      <c r="A46" s="5" t="s">
        <v>54</v>
      </c>
      <c r="B46" s="5" t="s">
        <v>50</v>
      </c>
      <c r="C46" s="5" t="s">
        <v>7</v>
      </c>
      <c r="D46" s="17">
        <v>10000.0</v>
      </c>
      <c r="E46" s="18">
        <v>4.0</v>
      </c>
      <c r="F46" s="6">
        <v>40000.0</v>
      </c>
      <c r="G46" s="5">
        <v>159.0</v>
      </c>
      <c r="H46" s="5">
        <v>75.0</v>
      </c>
      <c r="I46" s="5">
        <v>43.0</v>
      </c>
      <c r="J46" s="5">
        <v>0.0</v>
      </c>
      <c r="K46" s="5">
        <v>0.0</v>
      </c>
      <c r="L46" s="6">
        <v>972.0</v>
      </c>
      <c r="M46" s="6">
        <v>972.0</v>
      </c>
      <c r="N46" s="6">
        <v>1250.0</v>
      </c>
      <c r="O46" s="6">
        <v>833.0</v>
      </c>
      <c r="P46" s="6">
        <v>250.0</v>
      </c>
      <c r="Q46" s="6">
        <v>0.0</v>
      </c>
      <c r="R46" s="23" t="s">
        <v>47</v>
      </c>
      <c r="S46" s="6">
        <v>0.0</v>
      </c>
      <c r="T46" s="6">
        <v>0.0</v>
      </c>
      <c r="U46" s="6">
        <v>0.0</v>
      </c>
      <c r="V46" s="6">
        <v>1025.0</v>
      </c>
      <c r="W46" s="6">
        <v>146.0</v>
      </c>
      <c r="X46" s="6">
        <v>386.0</v>
      </c>
      <c r="Y46" s="6">
        <v>583.0</v>
      </c>
      <c r="Z46" s="6">
        <v>125.0</v>
      </c>
      <c r="AA46" s="6">
        <v>2400.0</v>
      </c>
      <c r="AB46" s="6">
        <v>2000.0</v>
      </c>
      <c r="AC46" s="6">
        <v>12424.0</v>
      </c>
      <c r="AD46" s="6">
        <v>27576.0</v>
      </c>
      <c r="AE46" s="7">
        <v>0.6894</v>
      </c>
    </row>
    <row r="47" ht="26.25" customHeight="1">
      <c r="A47" s="8" t="s">
        <v>54</v>
      </c>
      <c r="B47" s="8" t="s">
        <v>50</v>
      </c>
      <c r="C47" s="8" t="s">
        <v>8</v>
      </c>
      <c r="D47" s="20">
        <v>103500.0</v>
      </c>
      <c r="E47" s="21">
        <v>1.0</v>
      </c>
      <c r="F47" s="9">
        <v>103500.0</v>
      </c>
      <c r="G47" s="8">
        <v>8.0</v>
      </c>
      <c r="H47" s="8">
        <v>10.0</v>
      </c>
      <c r="I47" s="8">
        <v>99.0</v>
      </c>
      <c r="J47" s="8">
        <v>0.0</v>
      </c>
      <c r="K47" s="8">
        <v>28.0</v>
      </c>
      <c r="L47" s="9">
        <v>1077.0</v>
      </c>
      <c r="M47" s="9">
        <v>1077.0</v>
      </c>
      <c r="N47" s="9">
        <v>7031.0</v>
      </c>
      <c r="O47" s="9">
        <v>833.0</v>
      </c>
      <c r="P47" s="9">
        <v>250.0</v>
      </c>
      <c r="Q47" s="9">
        <v>7098.0</v>
      </c>
      <c r="R47" s="22">
        <v>5428.0</v>
      </c>
      <c r="S47" s="9">
        <v>6160.0</v>
      </c>
      <c r="T47" s="9">
        <v>2080.0</v>
      </c>
      <c r="U47" s="9">
        <v>0.0</v>
      </c>
      <c r="V47" s="9">
        <v>1136.0</v>
      </c>
      <c r="W47" s="9">
        <v>162.0</v>
      </c>
      <c r="X47" s="9">
        <v>428.0</v>
      </c>
      <c r="Y47" s="9">
        <v>162.0</v>
      </c>
      <c r="Z47" s="9">
        <v>250.0</v>
      </c>
      <c r="AA47" s="9">
        <v>6210.0</v>
      </c>
      <c r="AB47" s="9">
        <v>5175.0</v>
      </c>
      <c r="AC47" s="9">
        <v>39129.0</v>
      </c>
      <c r="AD47" s="9">
        <v>64371.0</v>
      </c>
      <c r="AE47" s="10">
        <v>0.621942028985507</v>
      </c>
    </row>
    <row r="48" ht="15.75" hidden="1" customHeight="1">
      <c r="A48" s="5" t="s">
        <v>55</v>
      </c>
      <c r="B48" s="5" t="s">
        <v>46</v>
      </c>
      <c r="C48" s="5" t="s">
        <v>7</v>
      </c>
      <c r="D48" s="17">
        <v>3000.0</v>
      </c>
      <c r="E48" s="18">
        <v>4.0</v>
      </c>
      <c r="F48" s="6">
        <v>12000.0</v>
      </c>
      <c r="G48" s="5">
        <v>148.0</v>
      </c>
      <c r="H48" s="5">
        <v>86.0</v>
      </c>
      <c r="I48" s="5">
        <v>38.0</v>
      </c>
      <c r="J48" s="5">
        <v>0.0</v>
      </c>
      <c r="K48" s="5">
        <v>0.0</v>
      </c>
      <c r="L48" s="6">
        <v>985.0</v>
      </c>
      <c r="M48" s="6">
        <v>985.0</v>
      </c>
      <c r="N48" s="6">
        <v>1250.0</v>
      </c>
      <c r="O48" s="6">
        <v>833.0</v>
      </c>
      <c r="P48" s="6">
        <v>250.0</v>
      </c>
      <c r="Q48" s="6">
        <v>0.0</v>
      </c>
      <c r="R48" s="23" t="s">
        <v>47</v>
      </c>
      <c r="S48" s="6">
        <v>0.0</v>
      </c>
      <c r="T48" s="6">
        <v>0.0</v>
      </c>
      <c r="U48" s="6">
        <v>0.0</v>
      </c>
      <c r="V48" s="6">
        <v>1039.0</v>
      </c>
      <c r="W48" s="6">
        <v>148.0</v>
      </c>
      <c r="X48" s="6">
        <v>391.0</v>
      </c>
      <c r="Y48" s="6">
        <v>591.0</v>
      </c>
      <c r="Z48" s="6">
        <v>125.0</v>
      </c>
      <c r="AA48" s="6">
        <v>720.0</v>
      </c>
      <c r="AB48" s="6">
        <v>600.0</v>
      </c>
      <c r="AC48" s="6">
        <v>8967.0</v>
      </c>
      <c r="AD48" s="6">
        <v>3033.0</v>
      </c>
      <c r="AE48" s="7">
        <v>0.25275</v>
      </c>
    </row>
    <row r="49" ht="26.25" customHeight="1">
      <c r="A49" s="8" t="s">
        <v>55</v>
      </c>
      <c r="B49" s="8" t="s">
        <v>46</v>
      </c>
      <c r="C49" s="8" t="s">
        <v>8</v>
      </c>
      <c r="D49" s="20">
        <v>69000.0</v>
      </c>
      <c r="E49" s="21">
        <v>1.0</v>
      </c>
      <c r="F49" s="9">
        <v>69000.0</v>
      </c>
      <c r="G49" s="8">
        <v>8.0</v>
      </c>
      <c r="H49" s="8">
        <v>10.0</v>
      </c>
      <c r="I49" s="8">
        <v>110.0</v>
      </c>
      <c r="J49" s="8">
        <v>0.0</v>
      </c>
      <c r="K49" s="8">
        <v>19.0</v>
      </c>
      <c r="L49" s="9">
        <v>985.0</v>
      </c>
      <c r="M49" s="9">
        <v>985.0</v>
      </c>
      <c r="N49" s="9">
        <v>7812.0</v>
      </c>
      <c r="O49" s="9">
        <v>833.0</v>
      </c>
      <c r="P49" s="9">
        <v>250.0</v>
      </c>
      <c r="Q49" s="9">
        <v>6098.0</v>
      </c>
      <c r="R49" s="22">
        <v>5404.0</v>
      </c>
      <c r="S49" s="9">
        <v>4180.0</v>
      </c>
      <c r="T49" s="9">
        <v>2080.0</v>
      </c>
      <c r="U49" s="9">
        <v>0.0</v>
      </c>
      <c r="V49" s="9">
        <v>1039.0</v>
      </c>
      <c r="W49" s="9">
        <v>148.0</v>
      </c>
      <c r="X49" s="9">
        <v>391.0</v>
      </c>
      <c r="Y49" s="9">
        <v>148.0</v>
      </c>
      <c r="Z49" s="9">
        <v>250.0</v>
      </c>
      <c r="AA49" s="9">
        <v>4140.0</v>
      </c>
      <c r="AB49" s="9">
        <v>3450.0</v>
      </c>
      <c r="AC49" s="9">
        <v>32789.0</v>
      </c>
      <c r="AD49" s="9">
        <v>36211.0</v>
      </c>
      <c r="AE49" s="10">
        <v>0.524797101449275</v>
      </c>
    </row>
    <row r="50" ht="26.25" hidden="1" customHeight="1">
      <c r="A50" s="11" t="s">
        <v>55</v>
      </c>
      <c r="B50" s="11" t="s">
        <v>46</v>
      </c>
      <c r="C50" s="11" t="s">
        <v>9</v>
      </c>
      <c r="D50" s="24">
        <v>9900.0</v>
      </c>
      <c r="E50" s="25">
        <v>1.0</v>
      </c>
      <c r="F50" s="12">
        <v>9900.0</v>
      </c>
      <c r="G50" s="11">
        <v>0.0</v>
      </c>
      <c r="H50" s="11">
        <v>9.0</v>
      </c>
      <c r="I50" s="11">
        <v>32.0</v>
      </c>
      <c r="J50" s="11">
        <v>22.0</v>
      </c>
      <c r="K50" s="11">
        <v>0.0</v>
      </c>
      <c r="L50" s="12">
        <v>0.0</v>
      </c>
      <c r="M50" s="12">
        <v>927.0</v>
      </c>
      <c r="N50" s="12">
        <v>2273.0</v>
      </c>
      <c r="O50" s="12">
        <v>833.0</v>
      </c>
      <c r="P50" s="12">
        <v>250.0</v>
      </c>
      <c r="Q50" s="12">
        <v>0.0</v>
      </c>
      <c r="R50" s="26">
        <v>5711.0</v>
      </c>
      <c r="S50" s="12">
        <v>0.0</v>
      </c>
      <c r="T50" s="12">
        <v>694.0</v>
      </c>
      <c r="U50" s="12">
        <v>3000.0</v>
      </c>
      <c r="V50" s="12">
        <v>978.0</v>
      </c>
      <c r="W50" s="12" t="s">
        <v>47</v>
      </c>
      <c r="X50" s="12" t="s">
        <v>47</v>
      </c>
      <c r="Y50" s="12" t="s">
        <v>47</v>
      </c>
      <c r="Z50" s="12" t="s">
        <v>47</v>
      </c>
      <c r="AA50" s="12">
        <v>594.0</v>
      </c>
      <c r="AB50" s="12">
        <v>495.0</v>
      </c>
      <c r="AC50" s="12">
        <f>SUM(M50:AB50)</f>
        <v>15755</v>
      </c>
      <c r="AD50" s="12">
        <f>F50-AC50</f>
        <v>-5855</v>
      </c>
      <c r="AE50" s="13">
        <f>AD50/F50</f>
        <v>-0.5914141414</v>
      </c>
    </row>
    <row r="51" ht="15.75" hidden="1" customHeight="1">
      <c r="A51" s="5" t="s">
        <v>55</v>
      </c>
      <c r="B51" s="5" t="s">
        <v>48</v>
      </c>
      <c r="C51" s="5" t="s">
        <v>7</v>
      </c>
      <c r="D51" s="17">
        <v>5400.0</v>
      </c>
      <c r="E51" s="18">
        <v>4.0</v>
      </c>
      <c r="F51" s="6">
        <v>21600.0</v>
      </c>
      <c r="G51" s="5">
        <v>165.0</v>
      </c>
      <c r="H51" s="5">
        <v>77.0</v>
      </c>
      <c r="I51" s="5">
        <v>42.0</v>
      </c>
      <c r="J51" s="5">
        <v>0.0</v>
      </c>
      <c r="K51" s="5">
        <v>0.0</v>
      </c>
      <c r="L51" s="6">
        <v>1096.0</v>
      </c>
      <c r="M51" s="6">
        <v>1096.0</v>
      </c>
      <c r="N51" s="6">
        <v>1250.0</v>
      </c>
      <c r="O51" s="6">
        <v>833.0</v>
      </c>
      <c r="P51" s="6">
        <v>250.0</v>
      </c>
      <c r="Q51" s="6">
        <v>0.0</v>
      </c>
      <c r="R51" s="23" t="s">
        <v>47</v>
      </c>
      <c r="S51" s="6">
        <v>0.0</v>
      </c>
      <c r="T51" s="6">
        <v>0.0</v>
      </c>
      <c r="U51" s="6">
        <v>0.0</v>
      </c>
      <c r="V51" s="6">
        <v>1156.0</v>
      </c>
      <c r="W51" s="6">
        <v>164.0</v>
      </c>
      <c r="X51" s="6">
        <v>435.0</v>
      </c>
      <c r="Y51" s="6">
        <v>658.0</v>
      </c>
      <c r="Z51" s="6">
        <v>125.0</v>
      </c>
      <c r="AA51" s="6">
        <v>1296.0</v>
      </c>
      <c r="AB51" s="6">
        <v>1080.0</v>
      </c>
      <c r="AC51" s="6">
        <v>11446.0</v>
      </c>
      <c r="AD51" s="6">
        <v>10154.0</v>
      </c>
      <c r="AE51" s="7">
        <v>-0.5682828282828283</v>
      </c>
    </row>
    <row r="52" ht="15.75" customHeight="1">
      <c r="A52" s="8" t="s">
        <v>55</v>
      </c>
      <c r="B52" s="8" t="s">
        <v>48</v>
      </c>
      <c r="C52" s="8" t="s">
        <v>8</v>
      </c>
      <c r="D52" s="20">
        <v>69000.0</v>
      </c>
      <c r="E52" s="21">
        <v>1.0</v>
      </c>
      <c r="F52" s="9">
        <v>69000.0</v>
      </c>
      <c r="G52" s="8">
        <v>8.0</v>
      </c>
      <c r="H52" s="8">
        <v>10.0</v>
      </c>
      <c r="I52" s="8">
        <v>94.0</v>
      </c>
      <c r="J52" s="8">
        <v>0.0</v>
      </c>
      <c r="K52" s="8">
        <v>18.0</v>
      </c>
      <c r="L52" s="9">
        <v>926.0</v>
      </c>
      <c r="M52" s="9">
        <v>926.0</v>
      </c>
      <c r="N52" s="9">
        <v>6676.0</v>
      </c>
      <c r="O52" s="9">
        <v>833.0</v>
      </c>
      <c r="P52" s="9">
        <v>250.0</v>
      </c>
      <c r="Q52" s="9">
        <v>6098.0</v>
      </c>
      <c r="R52" s="22">
        <v>5874.0</v>
      </c>
      <c r="S52" s="9">
        <v>3960.0</v>
      </c>
      <c r="T52" s="9">
        <v>2080.0</v>
      </c>
      <c r="U52" s="9">
        <v>0.0</v>
      </c>
      <c r="V52" s="9">
        <v>977.0</v>
      </c>
      <c r="W52" s="9">
        <v>139.0</v>
      </c>
      <c r="X52" s="9">
        <v>368.0</v>
      </c>
      <c r="Y52" s="9">
        <v>139.0</v>
      </c>
      <c r="Z52" s="9">
        <v>250.0</v>
      </c>
      <c r="AA52" s="9">
        <v>4140.0</v>
      </c>
      <c r="AB52" s="9">
        <v>3450.0</v>
      </c>
      <c r="AC52" s="9">
        <v>31212.0</v>
      </c>
      <c r="AD52" s="9">
        <v>37788.0</v>
      </c>
      <c r="AE52" s="10">
        <v>-0.5653535353535354</v>
      </c>
    </row>
    <row r="53" ht="15.75" hidden="1" customHeight="1">
      <c r="A53" s="5" t="s">
        <v>55</v>
      </c>
      <c r="B53" s="5" t="s">
        <v>49</v>
      </c>
      <c r="C53" s="5" t="s">
        <v>7</v>
      </c>
      <c r="D53" s="17">
        <v>4500.0</v>
      </c>
      <c r="E53" s="18">
        <v>4.0</v>
      </c>
      <c r="F53" s="6">
        <v>18000.0</v>
      </c>
      <c r="G53" s="5">
        <v>154.0</v>
      </c>
      <c r="H53" s="5">
        <v>75.0</v>
      </c>
      <c r="I53" s="5">
        <v>42.0</v>
      </c>
      <c r="J53" s="5">
        <v>0.0</v>
      </c>
      <c r="K53" s="5">
        <v>0.0</v>
      </c>
      <c r="L53" s="6">
        <v>977.0</v>
      </c>
      <c r="M53" s="6">
        <v>977.0</v>
      </c>
      <c r="N53" s="6">
        <v>1250.0</v>
      </c>
      <c r="O53" s="6">
        <v>833.0</v>
      </c>
      <c r="P53" s="6">
        <v>250.0</v>
      </c>
      <c r="Q53" s="6">
        <v>0.0</v>
      </c>
      <c r="R53" s="23" t="s">
        <v>47</v>
      </c>
      <c r="S53" s="6">
        <v>0.0</v>
      </c>
      <c r="T53" s="6">
        <v>0.0</v>
      </c>
      <c r="U53" s="6">
        <v>0.0</v>
      </c>
      <c r="V53" s="6">
        <v>1031.0</v>
      </c>
      <c r="W53" s="6">
        <v>147.0</v>
      </c>
      <c r="X53" s="6">
        <v>388.0</v>
      </c>
      <c r="Y53" s="6">
        <v>586.0</v>
      </c>
      <c r="Z53" s="6">
        <v>125.0</v>
      </c>
      <c r="AA53" s="6">
        <v>1080.0</v>
      </c>
      <c r="AB53" s="6">
        <v>900.0</v>
      </c>
      <c r="AC53" s="6">
        <v>10411.0</v>
      </c>
      <c r="AD53" s="6">
        <v>7589.0</v>
      </c>
      <c r="AE53" s="7">
        <v>0.15262626262626264</v>
      </c>
    </row>
    <row r="54" ht="15.75" customHeight="1">
      <c r="A54" s="8" t="s">
        <v>55</v>
      </c>
      <c r="B54" s="8" t="s">
        <v>49</v>
      </c>
      <c r="C54" s="8" t="s">
        <v>8</v>
      </c>
      <c r="D54" s="20">
        <v>34500.0</v>
      </c>
      <c r="E54" s="21">
        <v>1.0</v>
      </c>
      <c r="F54" s="9">
        <v>34500.0</v>
      </c>
      <c r="G54" s="8">
        <v>8.0</v>
      </c>
      <c r="H54" s="8">
        <v>10.0</v>
      </c>
      <c r="I54" s="8">
        <v>107.0</v>
      </c>
      <c r="J54" s="8">
        <v>0.0</v>
      </c>
      <c r="K54" s="8">
        <v>12.0</v>
      </c>
      <c r="L54" s="9">
        <v>957.0</v>
      </c>
      <c r="M54" s="9">
        <v>957.0</v>
      </c>
      <c r="N54" s="9">
        <v>7599.0</v>
      </c>
      <c r="O54" s="9">
        <v>833.0</v>
      </c>
      <c r="P54" s="9">
        <v>250.0</v>
      </c>
      <c r="Q54" s="9">
        <v>5098.0</v>
      </c>
      <c r="R54" s="22">
        <v>5763.0</v>
      </c>
      <c r="S54" s="9">
        <v>2640.0</v>
      </c>
      <c r="T54" s="9">
        <v>2080.0</v>
      </c>
      <c r="U54" s="9">
        <v>0.0</v>
      </c>
      <c r="V54" s="9">
        <v>1010.0</v>
      </c>
      <c r="W54" s="9">
        <v>144.0</v>
      </c>
      <c r="X54" s="9">
        <v>380.0</v>
      </c>
      <c r="Y54" s="9">
        <v>144.0</v>
      </c>
      <c r="Z54" s="9">
        <v>250.0</v>
      </c>
      <c r="AA54" s="9">
        <v>2070.0</v>
      </c>
      <c r="AB54" s="9">
        <v>1725.0</v>
      </c>
      <c r="AC54" s="9">
        <v>26137.0</v>
      </c>
      <c r="AD54" s="9">
        <v>8363.0</v>
      </c>
      <c r="AE54" s="10">
        <v>-0.604040404040404</v>
      </c>
    </row>
    <row r="55" ht="15.75" hidden="1" customHeight="1">
      <c r="A55" s="11" t="s">
        <v>55</v>
      </c>
      <c r="B55" s="11" t="s">
        <v>49</v>
      </c>
      <c r="C55" s="11" t="s">
        <v>9</v>
      </c>
      <c r="D55" s="24">
        <v>9900.0</v>
      </c>
      <c r="E55" s="25">
        <v>1.0</v>
      </c>
      <c r="F55" s="12">
        <v>9900.0</v>
      </c>
      <c r="G55" s="11">
        <v>0.0</v>
      </c>
      <c r="H55" s="11">
        <v>8.0</v>
      </c>
      <c r="I55" s="11">
        <v>32.0</v>
      </c>
      <c r="J55" s="11">
        <v>7.0</v>
      </c>
      <c r="K55" s="11">
        <v>0.0</v>
      </c>
      <c r="L55" s="12">
        <v>0.0</v>
      </c>
      <c r="M55" s="12">
        <v>1057.0</v>
      </c>
      <c r="N55" s="12">
        <v>2273.0</v>
      </c>
      <c r="O55" s="12">
        <v>833.0</v>
      </c>
      <c r="P55" s="12">
        <v>250.0</v>
      </c>
      <c r="Q55" s="12">
        <v>0.0</v>
      </c>
      <c r="R55" s="26">
        <v>5215.0</v>
      </c>
      <c r="S55" s="12">
        <v>0.0</v>
      </c>
      <c r="T55" s="12">
        <v>694.0</v>
      </c>
      <c r="U55" s="12">
        <v>3000.0</v>
      </c>
      <c r="V55" s="12">
        <v>1115.0</v>
      </c>
      <c r="W55" s="12" t="s">
        <v>47</v>
      </c>
      <c r="X55" s="12" t="s">
        <v>47</v>
      </c>
      <c r="Y55" s="12" t="s">
        <v>47</v>
      </c>
      <c r="Z55" s="12" t="s">
        <v>47</v>
      </c>
      <c r="AA55" s="12">
        <v>594.0</v>
      </c>
      <c r="AB55" s="12">
        <v>495.0</v>
      </c>
      <c r="AC55" s="12">
        <f>SUM(M55:AB55)</f>
        <v>15526</v>
      </c>
      <c r="AD55" s="12">
        <f>F55-AC55</f>
        <v>-5626</v>
      </c>
      <c r="AE55" s="13">
        <f>AD55/F55</f>
        <v>-0.5682828283</v>
      </c>
    </row>
    <row r="56" ht="15.75" hidden="1" customHeight="1">
      <c r="A56" s="5" t="s">
        <v>55</v>
      </c>
      <c r="B56" s="5" t="s">
        <v>50</v>
      </c>
      <c r="C56" s="5" t="s">
        <v>7</v>
      </c>
      <c r="D56" s="17">
        <v>8000.0</v>
      </c>
      <c r="E56" s="18">
        <v>4.0</v>
      </c>
      <c r="F56" s="6">
        <v>32000.0</v>
      </c>
      <c r="G56" s="5">
        <v>170.0</v>
      </c>
      <c r="H56" s="5">
        <v>74.0</v>
      </c>
      <c r="I56" s="5">
        <v>36.0</v>
      </c>
      <c r="J56" s="5">
        <v>0.0</v>
      </c>
      <c r="K56" s="5">
        <v>0.0</v>
      </c>
      <c r="L56" s="6">
        <v>936.0</v>
      </c>
      <c r="M56" s="6">
        <v>936.0</v>
      </c>
      <c r="N56" s="6">
        <v>1250.0</v>
      </c>
      <c r="O56" s="6">
        <v>833.0</v>
      </c>
      <c r="P56" s="6">
        <v>250.0</v>
      </c>
      <c r="Q56" s="6">
        <v>0.0</v>
      </c>
      <c r="R56" s="23" t="s">
        <v>47</v>
      </c>
      <c r="S56" s="6">
        <v>0.0</v>
      </c>
      <c r="T56" s="6">
        <v>0.0</v>
      </c>
      <c r="U56" s="6">
        <v>0.0</v>
      </c>
      <c r="V56" s="6">
        <v>988.0</v>
      </c>
      <c r="W56" s="6">
        <v>140.0</v>
      </c>
      <c r="X56" s="6">
        <v>372.0</v>
      </c>
      <c r="Y56" s="6">
        <v>562.0</v>
      </c>
      <c r="Z56" s="6">
        <v>125.0</v>
      </c>
      <c r="AA56" s="6">
        <v>1920.0</v>
      </c>
      <c r="AB56" s="6">
        <v>1600.0</v>
      </c>
      <c r="AC56" s="6">
        <v>12230.0</v>
      </c>
      <c r="AD56" s="6">
        <v>19770.0</v>
      </c>
      <c r="AE56" s="7">
        <v>-0.5985858585858586</v>
      </c>
    </row>
    <row r="57" ht="15.75" customHeight="1">
      <c r="A57" s="8" t="s">
        <v>55</v>
      </c>
      <c r="B57" s="8" t="s">
        <v>50</v>
      </c>
      <c r="C57" s="8" t="s">
        <v>8</v>
      </c>
      <c r="D57" s="20">
        <v>69000.0</v>
      </c>
      <c r="E57" s="21">
        <v>1.0</v>
      </c>
      <c r="F57" s="9">
        <v>69000.0</v>
      </c>
      <c r="G57" s="8">
        <v>6.0</v>
      </c>
      <c r="H57" s="8">
        <v>11.0</v>
      </c>
      <c r="I57" s="8">
        <v>103.0</v>
      </c>
      <c r="J57" s="8">
        <v>0.0</v>
      </c>
      <c r="K57" s="8">
        <v>19.0</v>
      </c>
      <c r="L57" s="9">
        <v>1027.0</v>
      </c>
      <c r="M57" s="9">
        <v>1027.0</v>
      </c>
      <c r="N57" s="9">
        <v>7315.0</v>
      </c>
      <c r="O57" s="9">
        <v>833.0</v>
      </c>
      <c r="P57" s="9">
        <v>250.0</v>
      </c>
      <c r="Q57" s="9">
        <v>6098.0</v>
      </c>
      <c r="R57" s="22">
        <v>5175.0</v>
      </c>
      <c r="S57" s="9">
        <v>4180.0</v>
      </c>
      <c r="T57" s="9">
        <v>2080.0</v>
      </c>
      <c r="U57" s="9">
        <v>0.0</v>
      </c>
      <c r="V57" s="9">
        <v>1083.0</v>
      </c>
      <c r="W57" s="9">
        <v>154.0</v>
      </c>
      <c r="X57" s="9">
        <v>408.0</v>
      </c>
      <c r="Y57" s="9">
        <v>154.0</v>
      </c>
      <c r="Z57" s="9">
        <v>250.0</v>
      </c>
      <c r="AA57" s="9">
        <v>4140.0</v>
      </c>
      <c r="AB57" s="9">
        <v>3450.0</v>
      </c>
      <c r="AC57" s="9">
        <v>32449.0</v>
      </c>
      <c r="AD57" s="9">
        <v>36551.0</v>
      </c>
      <c r="AE57" s="10">
        <v>-0.5953535353535353</v>
      </c>
    </row>
    <row r="58" ht="15.75" hidden="1" customHeight="1">
      <c r="A58" s="11" t="s">
        <v>55</v>
      </c>
      <c r="B58" s="11" t="s">
        <v>50</v>
      </c>
      <c r="C58" s="11" t="s">
        <v>9</v>
      </c>
      <c r="D58" s="24">
        <v>9900.0</v>
      </c>
      <c r="E58" s="25">
        <v>1.0</v>
      </c>
      <c r="F58" s="12">
        <v>9900.0</v>
      </c>
      <c r="G58" s="11">
        <v>0.0</v>
      </c>
      <c r="H58" s="11">
        <v>8.0</v>
      </c>
      <c r="I58" s="11">
        <v>33.0</v>
      </c>
      <c r="J58" s="11">
        <v>27.0</v>
      </c>
      <c r="K58" s="11">
        <v>0.0</v>
      </c>
      <c r="L58" s="12">
        <v>0.0</v>
      </c>
      <c r="M58" s="12">
        <v>972.0</v>
      </c>
      <c r="N58" s="12">
        <v>2344.0</v>
      </c>
      <c r="O58" s="12">
        <v>833.0</v>
      </c>
      <c r="P58" s="12">
        <v>250.0</v>
      </c>
      <c r="Q58" s="12">
        <v>0.0</v>
      </c>
      <c r="R58" s="26">
        <v>5289.0</v>
      </c>
      <c r="S58" s="12">
        <v>0.0</v>
      </c>
      <c r="T58" s="12">
        <v>694.0</v>
      </c>
      <c r="U58" s="12">
        <v>3000.0</v>
      </c>
      <c r="V58" s="12">
        <v>1026.0</v>
      </c>
      <c r="W58" s="12" t="s">
        <v>47</v>
      </c>
      <c r="X58" s="12" t="s">
        <v>47</v>
      </c>
      <c r="Y58" s="12" t="s">
        <v>47</v>
      </c>
      <c r="Z58" s="12" t="s">
        <v>47</v>
      </c>
      <c r="AA58" s="12">
        <v>594.0</v>
      </c>
      <c r="AB58" s="12">
        <v>495.0</v>
      </c>
      <c r="AC58" s="12">
        <f>SUM(M58:AB58)</f>
        <v>15497</v>
      </c>
      <c r="AD58" s="12">
        <f>F58-AC58</f>
        <v>-5597</v>
      </c>
      <c r="AE58" s="13">
        <f>AD58/F58</f>
        <v>-0.5653535354</v>
      </c>
    </row>
    <row r="59" ht="15.75" hidden="1" customHeight="1">
      <c r="A59" s="5" t="s">
        <v>56</v>
      </c>
      <c r="B59" s="5" t="s">
        <v>46</v>
      </c>
      <c r="C59" s="5" t="s">
        <v>7</v>
      </c>
      <c r="D59" s="17">
        <v>4500.0</v>
      </c>
      <c r="E59" s="18">
        <v>5.0</v>
      </c>
      <c r="F59" s="6">
        <v>22500.0</v>
      </c>
      <c r="G59" s="30">
        <v>70.0</v>
      </c>
      <c r="H59" s="5">
        <v>108.0</v>
      </c>
      <c r="I59" s="5">
        <v>49.0</v>
      </c>
      <c r="J59" s="5">
        <v>0.0</v>
      </c>
      <c r="K59" s="5">
        <v>0.0</v>
      </c>
      <c r="L59" s="6">
        <v>1076.0</v>
      </c>
      <c r="M59" s="6">
        <v>1076.0</v>
      </c>
      <c r="N59" s="6">
        <v>1250.0</v>
      </c>
      <c r="O59" s="6">
        <v>833.0</v>
      </c>
      <c r="P59" s="6">
        <v>250.0</v>
      </c>
      <c r="Q59" s="6">
        <v>0.0</v>
      </c>
      <c r="R59" s="23" t="s">
        <v>47</v>
      </c>
      <c r="S59" s="6">
        <v>0.0</v>
      </c>
      <c r="T59" s="6">
        <v>0.0</v>
      </c>
      <c r="U59" s="6">
        <v>0.0</v>
      </c>
      <c r="V59" s="6">
        <v>1135.0</v>
      </c>
      <c r="W59" s="6">
        <v>161.0</v>
      </c>
      <c r="X59" s="6">
        <v>427.0</v>
      </c>
      <c r="Y59" s="6">
        <v>807.0</v>
      </c>
      <c r="Z59" s="6">
        <v>125.0</v>
      </c>
      <c r="AA59" s="6">
        <v>1350.0</v>
      </c>
      <c r="AB59" s="6">
        <v>1125.0</v>
      </c>
      <c r="AC59" s="6">
        <v>10947.0</v>
      </c>
      <c r="AD59" s="6">
        <v>11553.0</v>
      </c>
      <c r="AE59" s="7">
        <v>-0.5927272727272728</v>
      </c>
    </row>
    <row r="60" ht="26.25" customHeight="1">
      <c r="A60" s="8" t="s">
        <v>56</v>
      </c>
      <c r="B60" s="8" t="s">
        <v>46</v>
      </c>
      <c r="C60" s="8" t="s">
        <v>8</v>
      </c>
      <c r="D60" s="20">
        <v>34500.0</v>
      </c>
      <c r="E60" s="21">
        <v>1.0</v>
      </c>
      <c r="F60" s="9">
        <v>34500.0</v>
      </c>
      <c r="G60" s="31">
        <v>106.0</v>
      </c>
      <c r="H60" s="8">
        <v>11.0</v>
      </c>
      <c r="I60" s="8">
        <v>97.0</v>
      </c>
      <c r="J60" s="8">
        <v>0.0</v>
      </c>
      <c r="K60" s="8">
        <v>11.0</v>
      </c>
      <c r="L60" s="9">
        <v>1087.0</v>
      </c>
      <c r="M60" s="9">
        <v>1087.0</v>
      </c>
      <c r="N60" s="9">
        <v>6889.0</v>
      </c>
      <c r="O60" s="9">
        <v>833.0</v>
      </c>
      <c r="P60" s="9">
        <v>250.0</v>
      </c>
      <c r="Q60" s="9">
        <v>5098.0</v>
      </c>
      <c r="R60" s="22">
        <v>5779.0</v>
      </c>
      <c r="S60" s="9">
        <v>2420.0</v>
      </c>
      <c r="T60" s="9">
        <v>2080.0</v>
      </c>
      <c r="U60" s="9">
        <v>0.0</v>
      </c>
      <c r="V60" s="9">
        <v>1147.0</v>
      </c>
      <c r="W60" s="9">
        <v>163.0</v>
      </c>
      <c r="X60" s="9">
        <v>431.0</v>
      </c>
      <c r="Y60" s="9">
        <v>163.0</v>
      </c>
      <c r="Z60" s="9">
        <v>250.0</v>
      </c>
      <c r="AA60" s="9">
        <v>2070.0</v>
      </c>
      <c r="AB60" s="9">
        <v>1725.0</v>
      </c>
      <c r="AC60" s="9">
        <v>25693.0</v>
      </c>
      <c r="AD60" s="9">
        <v>8807.0</v>
      </c>
      <c r="AE60" s="10">
        <v>0.17116161616161615</v>
      </c>
    </row>
    <row r="61" ht="26.25" hidden="1" customHeight="1">
      <c r="A61" s="11" t="s">
        <v>56</v>
      </c>
      <c r="B61" s="11" t="s">
        <v>46</v>
      </c>
      <c r="C61" s="11" t="s">
        <v>9</v>
      </c>
      <c r="D61" s="24">
        <v>9900.0</v>
      </c>
      <c r="E61" s="25">
        <v>2.0</v>
      </c>
      <c r="F61" s="12">
        <v>19800.0</v>
      </c>
      <c r="G61" s="31">
        <v>80.0</v>
      </c>
      <c r="H61" s="11">
        <v>17.0</v>
      </c>
      <c r="I61" s="11">
        <v>59.0</v>
      </c>
      <c r="J61" s="11">
        <v>27.0</v>
      </c>
      <c r="K61" s="11">
        <v>0.0</v>
      </c>
      <c r="L61" s="12">
        <v>0.0</v>
      </c>
      <c r="M61" s="12">
        <v>996.0</v>
      </c>
      <c r="N61" s="12">
        <v>3125.0</v>
      </c>
      <c r="O61" s="12">
        <v>833.0</v>
      </c>
      <c r="P61" s="12">
        <v>250.0</v>
      </c>
      <c r="Q61" s="12">
        <v>0.0</v>
      </c>
      <c r="R61" s="26">
        <v>6498.0</v>
      </c>
      <c r="S61" s="12">
        <v>0.0</v>
      </c>
      <c r="T61" s="12">
        <v>347.0</v>
      </c>
      <c r="U61" s="12">
        <v>1500.0</v>
      </c>
      <c r="V61" s="12">
        <v>1051.0</v>
      </c>
      <c r="W61" s="12" t="s">
        <v>47</v>
      </c>
      <c r="X61" s="12" t="s">
        <v>47</v>
      </c>
      <c r="Y61" s="12" t="s">
        <v>47</v>
      </c>
      <c r="Z61" s="12" t="s">
        <v>47</v>
      </c>
      <c r="AA61" s="12">
        <v>1188.0</v>
      </c>
      <c r="AB61" s="12">
        <v>990.0</v>
      </c>
      <c r="AC61" s="12">
        <f>SUM(M61:AB61)</f>
        <v>16778</v>
      </c>
      <c r="AD61" s="12">
        <f>F61-AC61</f>
        <v>3022</v>
      </c>
      <c r="AE61" s="28">
        <f>AD61/F61</f>
        <v>0.1526262626</v>
      </c>
    </row>
    <row r="62" ht="15.75" hidden="1" customHeight="1">
      <c r="A62" s="5" t="s">
        <v>56</v>
      </c>
      <c r="B62" s="5" t="s">
        <v>48</v>
      </c>
      <c r="C62" s="5" t="s">
        <v>7</v>
      </c>
      <c r="D62" s="17">
        <v>8000.0</v>
      </c>
      <c r="E62" s="18">
        <v>4.0</v>
      </c>
      <c r="F62" s="6">
        <v>32000.0</v>
      </c>
      <c r="G62" s="31">
        <v>96.0</v>
      </c>
      <c r="H62" s="5">
        <v>74.0</v>
      </c>
      <c r="I62" s="5">
        <v>38.0</v>
      </c>
      <c r="J62" s="5">
        <v>0.0</v>
      </c>
      <c r="K62" s="5">
        <v>0.0</v>
      </c>
      <c r="L62" s="6">
        <v>899.0</v>
      </c>
      <c r="M62" s="6">
        <v>899.0</v>
      </c>
      <c r="N62" s="6">
        <v>1250.0</v>
      </c>
      <c r="O62" s="6">
        <v>833.0</v>
      </c>
      <c r="P62" s="6">
        <v>250.0</v>
      </c>
      <c r="Q62" s="6">
        <v>0.0</v>
      </c>
      <c r="R62" s="23" t="s">
        <v>47</v>
      </c>
      <c r="S62" s="6">
        <v>0.0</v>
      </c>
      <c r="T62" s="6">
        <v>0.0</v>
      </c>
      <c r="U62" s="6">
        <v>0.0</v>
      </c>
      <c r="V62" s="6">
        <v>949.0</v>
      </c>
      <c r="W62" s="6">
        <v>135.0</v>
      </c>
      <c r="X62" s="6">
        <v>357.0</v>
      </c>
      <c r="Y62" s="6">
        <v>540.0</v>
      </c>
      <c r="Z62" s="6">
        <v>125.0</v>
      </c>
      <c r="AA62" s="6">
        <v>1920.0</v>
      </c>
      <c r="AB62" s="6">
        <v>1600.0</v>
      </c>
      <c r="AC62" s="6">
        <v>11216.0</v>
      </c>
      <c r="AD62" s="6">
        <v>20784.0</v>
      </c>
      <c r="AE62" s="7">
        <v>-0.6213131313131313</v>
      </c>
    </row>
    <row r="63" ht="26.25" customHeight="1">
      <c r="A63" s="8" t="s">
        <v>56</v>
      </c>
      <c r="B63" s="8" t="s">
        <v>48</v>
      </c>
      <c r="C63" s="8" t="s">
        <v>8</v>
      </c>
      <c r="D63" s="20">
        <v>34500.0</v>
      </c>
      <c r="E63" s="21">
        <v>1.0</v>
      </c>
      <c r="F63" s="9">
        <v>34500.0</v>
      </c>
      <c r="G63" s="31">
        <v>80.0</v>
      </c>
      <c r="H63" s="8">
        <v>11.0</v>
      </c>
      <c r="I63" s="8">
        <v>99.0</v>
      </c>
      <c r="J63" s="8">
        <v>0.0</v>
      </c>
      <c r="K63" s="8">
        <v>11.0</v>
      </c>
      <c r="L63" s="9">
        <v>959.0</v>
      </c>
      <c r="M63" s="9">
        <v>959.0</v>
      </c>
      <c r="N63" s="9">
        <v>7031.0</v>
      </c>
      <c r="O63" s="9">
        <v>833.0</v>
      </c>
      <c r="P63" s="9">
        <v>250.0</v>
      </c>
      <c r="Q63" s="9">
        <v>5098.0</v>
      </c>
      <c r="R63" s="22">
        <v>5317.0</v>
      </c>
      <c r="S63" s="9">
        <v>2420.0</v>
      </c>
      <c r="T63" s="9">
        <v>2080.0</v>
      </c>
      <c r="U63" s="9">
        <v>0.0</v>
      </c>
      <c r="V63" s="9">
        <v>1012.0</v>
      </c>
      <c r="W63" s="9">
        <v>144.0</v>
      </c>
      <c r="X63" s="9">
        <v>381.0</v>
      </c>
      <c r="Y63" s="9">
        <v>144.0</v>
      </c>
      <c r="Z63" s="9">
        <v>250.0</v>
      </c>
      <c r="AA63" s="9">
        <v>2070.0</v>
      </c>
      <c r="AB63" s="9">
        <v>1725.0</v>
      </c>
      <c r="AC63" s="9">
        <v>25356.0</v>
      </c>
      <c r="AD63" s="9">
        <v>9144.0</v>
      </c>
      <c r="AE63" s="10">
        <v>-0.6276767676767677</v>
      </c>
    </row>
    <row r="64" ht="15.75" hidden="1" customHeight="1">
      <c r="A64" s="5" t="s">
        <v>56</v>
      </c>
      <c r="B64" s="5" t="s">
        <v>49</v>
      </c>
      <c r="C64" s="5" t="s">
        <v>7</v>
      </c>
      <c r="D64" s="17">
        <v>10000.0</v>
      </c>
      <c r="E64" s="18">
        <v>4.0</v>
      </c>
      <c r="F64" s="6">
        <v>40000.0</v>
      </c>
      <c r="G64" s="31">
        <v>96.0</v>
      </c>
      <c r="H64" s="5">
        <v>81.0</v>
      </c>
      <c r="I64" s="5">
        <v>40.0</v>
      </c>
      <c r="J64" s="5">
        <v>0.0</v>
      </c>
      <c r="K64" s="5">
        <v>0.0</v>
      </c>
      <c r="L64" s="6">
        <v>1107.0</v>
      </c>
      <c r="M64" s="6">
        <v>1107.0</v>
      </c>
      <c r="N64" s="6">
        <v>1250.0</v>
      </c>
      <c r="O64" s="6">
        <v>833.0</v>
      </c>
      <c r="P64" s="6">
        <v>250.0</v>
      </c>
      <c r="Q64" s="6">
        <v>0.0</v>
      </c>
      <c r="R64" s="23" t="s">
        <v>47</v>
      </c>
      <c r="S64" s="6">
        <v>0.0</v>
      </c>
      <c r="T64" s="6">
        <v>0.0</v>
      </c>
      <c r="U64" s="6">
        <v>0.0</v>
      </c>
      <c r="V64" s="6">
        <v>1168.0</v>
      </c>
      <c r="W64" s="6">
        <v>166.0</v>
      </c>
      <c r="X64" s="6">
        <v>440.0</v>
      </c>
      <c r="Y64" s="6">
        <v>664.0</v>
      </c>
      <c r="Z64" s="6">
        <v>125.0</v>
      </c>
      <c r="AA64" s="6">
        <v>2400.0</v>
      </c>
      <c r="AB64" s="6">
        <v>2000.0</v>
      </c>
      <c r="AC64" s="6">
        <v>14183.0</v>
      </c>
      <c r="AD64" s="6">
        <v>25817.0</v>
      </c>
      <c r="AE64" s="7">
        <v>-0.5482828282828283</v>
      </c>
    </row>
    <row r="65" ht="15.75" customHeight="1">
      <c r="A65" s="8" t="s">
        <v>56</v>
      </c>
      <c r="B65" s="8" t="s">
        <v>49</v>
      </c>
      <c r="C65" s="8" t="s">
        <v>8</v>
      </c>
      <c r="D65" s="20">
        <v>34500.0</v>
      </c>
      <c r="E65" s="21">
        <v>1.0</v>
      </c>
      <c r="F65" s="9">
        <v>34500.0</v>
      </c>
      <c r="G65" s="31">
        <v>75.0</v>
      </c>
      <c r="H65" s="8">
        <v>11.0</v>
      </c>
      <c r="I65" s="8">
        <v>102.0</v>
      </c>
      <c r="J65" s="8">
        <v>0.0</v>
      </c>
      <c r="K65" s="8">
        <v>11.0</v>
      </c>
      <c r="L65" s="9">
        <v>952.0</v>
      </c>
      <c r="M65" s="9">
        <v>952.0</v>
      </c>
      <c r="N65" s="9">
        <v>7244.0</v>
      </c>
      <c r="O65" s="9">
        <v>833.0</v>
      </c>
      <c r="P65" s="9">
        <v>250.0</v>
      </c>
      <c r="Q65" s="9">
        <v>5098.0</v>
      </c>
      <c r="R65" s="22">
        <v>5982.0</v>
      </c>
      <c r="S65" s="9">
        <v>2420.0</v>
      </c>
      <c r="T65" s="9">
        <v>2080.0</v>
      </c>
      <c r="U65" s="9">
        <v>0.0</v>
      </c>
      <c r="V65" s="9">
        <v>1004.0</v>
      </c>
      <c r="W65" s="9">
        <v>143.0</v>
      </c>
      <c r="X65" s="9">
        <v>378.0</v>
      </c>
      <c r="Y65" s="9">
        <v>143.0</v>
      </c>
      <c r="Z65" s="9">
        <v>250.0</v>
      </c>
      <c r="AA65" s="9">
        <v>2070.0</v>
      </c>
      <c r="AB65" s="9">
        <v>1725.0</v>
      </c>
      <c r="AC65" s="9">
        <v>25542.0</v>
      </c>
      <c r="AD65" s="9">
        <v>8958.0</v>
      </c>
      <c r="AE65" s="10">
        <v>-0.6155555555555555</v>
      </c>
    </row>
    <row r="66" ht="15.75" hidden="1" customHeight="1">
      <c r="A66" s="11" t="s">
        <v>56</v>
      </c>
      <c r="B66" s="11" t="s">
        <v>49</v>
      </c>
      <c r="C66" s="11" t="s">
        <v>9</v>
      </c>
      <c r="D66" s="24">
        <v>9900.0</v>
      </c>
      <c r="E66" s="25">
        <v>1.0</v>
      </c>
      <c r="F66" s="12">
        <v>9900.0</v>
      </c>
      <c r="G66" s="31">
        <v>101.0</v>
      </c>
      <c r="H66" s="11">
        <v>8.0</v>
      </c>
      <c r="I66" s="11">
        <v>31.0</v>
      </c>
      <c r="J66" s="11">
        <v>15.0</v>
      </c>
      <c r="K66" s="11">
        <v>0.0</v>
      </c>
      <c r="L66" s="12">
        <v>0.0</v>
      </c>
      <c r="M66" s="12">
        <v>1072.0</v>
      </c>
      <c r="N66" s="12">
        <v>2202.0</v>
      </c>
      <c r="O66" s="12">
        <v>833.0</v>
      </c>
      <c r="P66" s="12">
        <v>250.0</v>
      </c>
      <c r="Q66" s="12">
        <v>0.0</v>
      </c>
      <c r="R66" s="26">
        <v>5609.0</v>
      </c>
      <c r="S66" s="12">
        <v>0.0</v>
      </c>
      <c r="T66" s="12">
        <v>694.0</v>
      </c>
      <c r="U66" s="12">
        <v>3000.0</v>
      </c>
      <c r="V66" s="12">
        <v>1131.0</v>
      </c>
      <c r="W66" s="12" t="s">
        <v>47</v>
      </c>
      <c r="X66" s="12" t="s">
        <v>47</v>
      </c>
      <c r="Y66" s="12" t="s">
        <v>47</v>
      </c>
      <c r="Z66" s="12" t="s">
        <v>47</v>
      </c>
      <c r="AA66" s="12">
        <v>594.0</v>
      </c>
      <c r="AB66" s="12">
        <v>495.0</v>
      </c>
      <c r="AC66" s="12">
        <f>SUM(M66:AB66)</f>
        <v>15880</v>
      </c>
      <c r="AD66" s="12">
        <f>F66-AC66</f>
        <v>-5980</v>
      </c>
      <c r="AE66" s="13">
        <f>AD66/F66</f>
        <v>-0.604040404</v>
      </c>
    </row>
    <row r="67" ht="15.75" hidden="1" customHeight="1">
      <c r="A67" s="5" t="s">
        <v>56</v>
      </c>
      <c r="B67" s="5" t="s">
        <v>50</v>
      </c>
      <c r="C67" s="5" t="s">
        <v>7</v>
      </c>
      <c r="D67" s="17">
        <v>4500.0</v>
      </c>
      <c r="E67" s="18">
        <v>4.0</v>
      </c>
      <c r="F67" s="6">
        <v>18000.0</v>
      </c>
      <c r="G67" s="31">
        <v>91.0</v>
      </c>
      <c r="H67" s="5">
        <v>87.0</v>
      </c>
      <c r="I67" s="5">
        <v>44.0</v>
      </c>
      <c r="J67" s="5">
        <v>0.0</v>
      </c>
      <c r="K67" s="5">
        <v>0.0</v>
      </c>
      <c r="L67" s="6">
        <v>1072.0</v>
      </c>
      <c r="M67" s="6">
        <v>1072.0</v>
      </c>
      <c r="N67" s="6">
        <v>1250.0</v>
      </c>
      <c r="O67" s="6">
        <v>833.0</v>
      </c>
      <c r="P67" s="6">
        <v>250.0</v>
      </c>
      <c r="Q67" s="6">
        <v>0.0</v>
      </c>
      <c r="R67" s="23" t="s">
        <v>47</v>
      </c>
      <c r="S67" s="6">
        <v>0.0</v>
      </c>
      <c r="T67" s="6">
        <v>0.0</v>
      </c>
      <c r="U67" s="6">
        <v>0.0</v>
      </c>
      <c r="V67" s="6">
        <v>1130.0</v>
      </c>
      <c r="W67" s="6">
        <v>161.0</v>
      </c>
      <c r="X67" s="6">
        <v>425.0</v>
      </c>
      <c r="Y67" s="6">
        <v>643.0</v>
      </c>
      <c r="Z67" s="6">
        <v>125.0</v>
      </c>
      <c r="AA67" s="6">
        <v>1080.0</v>
      </c>
      <c r="AB67" s="6">
        <v>900.0</v>
      </c>
      <c r="AC67" s="6">
        <v>10871.0</v>
      </c>
      <c r="AD67" s="6">
        <v>7129.0</v>
      </c>
      <c r="AE67" s="7">
        <v>-0.5824242424242424</v>
      </c>
    </row>
    <row r="68" ht="26.25" customHeight="1">
      <c r="A68" s="8" t="s">
        <v>56</v>
      </c>
      <c r="B68" s="8" t="s">
        <v>50</v>
      </c>
      <c r="C68" s="8" t="s">
        <v>8</v>
      </c>
      <c r="D68" s="20">
        <v>69000.0</v>
      </c>
      <c r="E68" s="21">
        <v>1.0</v>
      </c>
      <c r="F68" s="9">
        <v>69000.0</v>
      </c>
      <c r="G68" s="31">
        <v>85.0</v>
      </c>
      <c r="H68" s="8">
        <v>9.0</v>
      </c>
      <c r="I68" s="8">
        <v>100.0</v>
      </c>
      <c r="J68" s="8">
        <v>0.0</v>
      </c>
      <c r="K68" s="8">
        <v>19.0</v>
      </c>
      <c r="L68" s="9">
        <v>1098.0</v>
      </c>
      <c r="M68" s="9">
        <v>1098.0</v>
      </c>
      <c r="N68" s="9">
        <v>7102.0</v>
      </c>
      <c r="O68" s="9">
        <v>833.0</v>
      </c>
      <c r="P68" s="9">
        <v>250.0</v>
      </c>
      <c r="Q68" s="9">
        <v>6098.0</v>
      </c>
      <c r="R68" s="22">
        <v>5226.0</v>
      </c>
      <c r="S68" s="9">
        <v>4180.0</v>
      </c>
      <c r="T68" s="9">
        <v>2080.0</v>
      </c>
      <c r="U68" s="9">
        <v>0.0</v>
      </c>
      <c r="V68" s="9">
        <v>1158.0</v>
      </c>
      <c r="W68" s="9">
        <v>165.0</v>
      </c>
      <c r="X68" s="9">
        <v>436.0</v>
      </c>
      <c r="Y68" s="9">
        <v>165.0</v>
      </c>
      <c r="Z68" s="9">
        <v>250.0</v>
      </c>
      <c r="AA68" s="9">
        <v>4140.0</v>
      </c>
      <c r="AB68" s="9">
        <v>3450.0</v>
      </c>
      <c r="AC68" s="9">
        <v>32503.0</v>
      </c>
      <c r="AD68" s="9">
        <v>36497.0</v>
      </c>
      <c r="AE68" s="10">
        <v>-0.574040404040404</v>
      </c>
    </row>
    <row r="69" ht="26.25" hidden="1" customHeight="1">
      <c r="A69" s="11" t="s">
        <v>56</v>
      </c>
      <c r="B69" s="11" t="s">
        <v>50</v>
      </c>
      <c r="C69" s="11" t="s">
        <v>9</v>
      </c>
      <c r="D69" s="24">
        <v>9900.0</v>
      </c>
      <c r="E69" s="25">
        <v>1.0</v>
      </c>
      <c r="F69" s="12">
        <v>9900.0</v>
      </c>
      <c r="G69" s="31">
        <v>86.0</v>
      </c>
      <c r="H69" s="11">
        <v>8.0</v>
      </c>
      <c r="I69" s="11">
        <v>30.0</v>
      </c>
      <c r="J69" s="11">
        <v>27.0</v>
      </c>
      <c r="K69" s="11">
        <v>0.0</v>
      </c>
      <c r="L69" s="12">
        <v>0.0</v>
      </c>
      <c r="M69" s="12">
        <v>924.0</v>
      </c>
      <c r="N69" s="12">
        <v>2131.0</v>
      </c>
      <c r="O69" s="12">
        <v>833.0</v>
      </c>
      <c r="P69" s="12">
        <v>250.0</v>
      </c>
      <c r="Q69" s="12">
        <v>0.0</v>
      </c>
      <c r="R69" s="26">
        <v>5499.0</v>
      </c>
      <c r="S69" s="12">
        <v>0.0</v>
      </c>
      <c r="T69" s="12">
        <v>694.0</v>
      </c>
      <c r="U69" s="12">
        <v>3000.0</v>
      </c>
      <c r="V69" s="12">
        <v>974.0</v>
      </c>
      <c r="W69" s="12" t="s">
        <v>47</v>
      </c>
      <c r="X69" s="12" t="s">
        <v>47</v>
      </c>
      <c r="Y69" s="12" t="s">
        <v>47</v>
      </c>
      <c r="Z69" s="12" t="s">
        <v>47</v>
      </c>
      <c r="AA69" s="12">
        <v>594.0</v>
      </c>
      <c r="AB69" s="12">
        <v>495.0</v>
      </c>
      <c r="AC69" s="12">
        <f>SUM(M69:AB69)</f>
        <v>15394</v>
      </c>
      <c r="AD69" s="12">
        <f>F69-AC69</f>
        <v>-5494</v>
      </c>
      <c r="AE69" s="13">
        <f>AD69/F69</f>
        <v>-0.5549494949</v>
      </c>
    </row>
    <row r="70" ht="15.75" hidden="1" customHeight="1">
      <c r="A70" s="5" t="s">
        <v>57</v>
      </c>
      <c r="B70" s="5" t="s">
        <v>46</v>
      </c>
      <c r="C70" s="5" t="s">
        <v>7</v>
      </c>
      <c r="D70" s="17">
        <v>8000.0</v>
      </c>
      <c r="E70" s="18">
        <v>5.0</v>
      </c>
      <c r="F70" s="6">
        <v>40000.0</v>
      </c>
      <c r="G70" s="31">
        <v>90.0</v>
      </c>
      <c r="H70" s="5">
        <v>92.0</v>
      </c>
      <c r="I70" s="5">
        <v>54.0</v>
      </c>
      <c r="J70" s="5">
        <v>0.0</v>
      </c>
      <c r="K70" s="5">
        <v>0.0</v>
      </c>
      <c r="L70" s="6">
        <v>1029.0</v>
      </c>
      <c r="M70" s="6">
        <v>1029.0</v>
      </c>
      <c r="N70" s="6">
        <v>1250.0</v>
      </c>
      <c r="O70" s="6">
        <v>833.0</v>
      </c>
      <c r="P70" s="6">
        <v>250.0</v>
      </c>
      <c r="Q70" s="6">
        <v>0.0</v>
      </c>
      <c r="R70" s="23" t="s">
        <v>47</v>
      </c>
      <c r="S70" s="6">
        <v>0.0</v>
      </c>
      <c r="T70" s="6">
        <v>0.0</v>
      </c>
      <c r="U70" s="6">
        <v>0.0</v>
      </c>
      <c r="V70" s="6">
        <v>1086.0</v>
      </c>
      <c r="W70" s="6">
        <v>154.0</v>
      </c>
      <c r="X70" s="6">
        <v>409.0</v>
      </c>
      <c r="Y70" s="6">
        <v>772.0</v>
      </c>
      <c r="Z70" s="6">
        <v>125.0</v>
      </c>
      <c r="AA70" s="6">
        <v>2400.0</v>
      </c>
      <c r="AB70" s="6">
        <v>2000.0</v>
      </c>
      <c r="AC70" s="6">
        <v>13084.0</v>
      </c>
      <c r="AD70" s="6">
        <v>26916.0</v>
      </c>
      <c r="AE70" s="7">
        <v>-0.6246464646464647</v>
      </c>
    </row>
    <row r="71" ht="26.25" customHeight="1">
      <c r="A71" s="8" t="s">
        <v>57</v>
      </c>
      <c r="B71" s="8" t="s">
        <v>46</v>
      </c>
      <c r="C71" s="8" t="s">
        <v>8</v>
      </c>
      <c r="D71" s="20">
        <v>34500.0</v>
      </c>
      <c r="E71" s="21">
        <v>1.0</v>
      </c>
      <c r="F71" s="9">
        <v>34500.0</v>
      </c>
      <c r="G71" s="31">
        <v>76.0</v>
      </c>
      <c r="H71" s="8">
        <v>11.0</v>
      </c>
      <c r="I71" s="8">
        <v>105.0</v>
      </c>
      <c r="J71" s="8">
        <v>0.0</v>
      </c>
      <c r="K71" s="8">
        <v>11.0</v>
      </c>
      <c r="L71" s="9">
        <v>941.0</v>
      </c>
      <c r="M71" s="9">
        <v>941.0</v>
      </c>
      <c r="N71" s="9">
        <v>7457.0</v>
      </c>
      <c r="O71" s="9">
        <v>833.0</v>
      </c>
      <c r="P71" s="9">
        <v>250.0</v>
      </c>
      <c r="Q71" s="9">
        <v>5098.0</v>
      </c>
      <c r="R71" s="22">
        <v>5324.0</v>
      </c>
      <c r="S71" s="9">
        <v>2420.0</v>
      </c>
      <c r="T71" s="9">
        <v>2080.0</v>
      </c>
      <c r="U71" s="9">
        <v>0.0</v>
      </c>
      <c r="V71" s="9">
        <v>993.0</v>
      </c>
      <c r="W71" s="9">
        <v>141.0</v>
      </c>
      <c r="X71" s="9">
        <v>374.0</v>
      </c>
      <c r="Y71" s="9">
        <v>141.0</v>
      </c>
      <c r="Z71" s="9">
        <v>250.0</v>
      </c>
      <c r="AA71" s="9">
        <v>2070.0</v>
      </c>
      <c r="AB71" s="9">
        <v>1725.0</v>
      </c>
      <c r="AC71" s="9">
        <v>25714.0</v>
      </c>
      <c r="AD71" s="9">
        <v>8786.0</v>
      </c>
      <c r="AE71" s="10">
        <v>0.254666666666667</v>
      </c>
    </row>
    <row r="72" ht="26.25" hidden="1" customHeight="1">
      <c r="A72" s="11" t="s">
        <v>57</v>
      </c>
      <c r="B72" s="11" t="s">
        <v>46</v>
      </c>
      <c r="C72" s="11" t="s">
        <v>9</v>
      </c>
      <c r="D72" s="24">
        <v>9900.0</v>
      </c>
      <c r="E72" s="25">
        <v>1.0</v>
      </c>
      <c r="F72" s="12">
        <v>9900.0</v>
      </c>
      <c r="G72" s="31">
        <v>100.0</v>
      </c>
      <c r="H72" s="11">
        <v>9.0</v>
      </c>
      <c r="I72" s="11">
        <v>31.0</v>
      </c>
      <c r="J72" s="11">
        <v>28.0</v>
      </c>
      <c r="K72" s="11">
        <v>0.0</v>
      </c>
      <c r="L72" s="12">
        <v>0.0</v>
      </c>
      <c r="M72" s="12">
        <v>919.0</v>
      </c>
      <c r="N72" s="12">
        <v>2202.0</v>
      </c>
      <c r="O72" s="12">
        <v>833.0</v>
      </c>
      <c r="P72" s="12">
        <v>250.0</v>
      </c>
      <c r="Q72" s="12">
        <v>0.0</v>
      </c>
      <c r="R72" s="26">
        <v>5869.0</v>
      </c>
      <c r="S72" s="12">
        <v>0.0</v>
      </c>
      <c r="T72" s="12">
        <v>694.0</v>
      </c>
      <c r="U72" s="12">
        <v>3000.0</v>
      </c>
      <c r="V72" s="12">
        <v>970.0</v>
      </c>
      <c r="W72" s="12" t="s">
        <v>47</v>
      </c>
      <c r="X72" s="12" t="s">
        <v>47</v>
      </c>
      <c r="Y72" s="12" t="s">
        <v>47</v>
      </c>
      <c r="Z72" s="12" t="s">
        <v>47</v>
      </c>
      <c r="AA72" s="12">
        <v>594.0</v>
      </c>
      <c r="AB72" s="12">
        <v>495.0</v>
      </c>
      <c r="AC72" s="12">
        <f>SUM(M72:AB72)</f>
        <v>15826</v>
      </c>
      <c r="AD72" s="12">
        <f>F72-AC72</f>
        <v>-5926</v>
      </c>
      <c r="AE72" s="13">
        <f>AD72/F72</f>
        <v>-0.5985858586</v>
      </c>
    </row>
    <row r="73" ht="15.75" hidden="1" customHeight="1">
      <c r="A73" s="5" t="s">
        <v>57</v>
      </c>
      <c r="B73" s="5" t="s">
        <v>48</v>
      </c>
      <c r="C73" s="5" t="s">
        <v>7</v>
      </c>
      <c r="D73" s="17">
        <v>8000.0</v>
      </c>
      <c r="E73" s="18">
        <v>4.0</v>
      </c>
      <c r="F73" s="6">
        <v>32000.0</v>
      </c>
      <c r="G73" s="31">
        <v>92.0</v>
      </c>
      <c r="H73" s="5">
        <v>85.0</v>
      </c>
      <c r="I73" s="5">
        <v>38.0</v>
      </c>
      <c r="J73" s="5">
        <v>0.0</v>
      </c>
      <c r="K73" s="5">
        <v>0.0</v>
      </c>
      <c r="L73" s="6">
        <v>1106.0</v>
      </c>
      <c r="M73" s="6">
        <v>1106.0</v>
      </c>
      <c r="N73" s="6">
        <v>1250.0</v>
      </c>
      <c r="O73" s="6">
        <v>833.0</v>
      </c>
      <c r="P73" s="6">
        <v>250.0</v>
      </c>
      <c r="Q73" s="6">
        <v>0.0</v>
      </c>
      <c r="R73" s="23" t="s">
        <v>47</v>
      </c>
      <c r="S73" s="6">
        <v>0.0</v>
      </c>
      <c r="T73" s="6">
        <v>0.0</v>
      </c>
      <c r="U73" s="6">
        <v>0.0</v>
      </c>
      <c r="V73" s="6">
        <v>1167.0</v>
      </c>
      <c r="W73" s="6">
        <v>166.0</v>
      </c>
      <c r="X73" s="6">
        <v>439.0</v>
      </c>
      <c r="Y73" s="6">
        <v>664.0</v>
      </c>
      <c r="Z73" s="6">
        <v>125.0</v>
      </c>
      <c r="AA73" s="6">
        <v>1920.0</v>
      </c>
      <c r="AB73" s="6">
        <v>1600.0</v>
      </c>
      <c r="AC73" s="6">
        <v>12889.0</v>
      </c>
      <c r="AD73" s="6">
        <v>19111.0</v>
      </c>
      <c r="AE73" s="7">
        <v>-0.5953535353535353</v>
      </c>
    </row>
    <row r="74" ht="26.25" customHeight="1">
      <c r="A74" s="8" t="s">
        <v>57</v>
      </c>
      <c r="B74" s="8" t="s">
        <v>48</v>
      </c>
      <c r="C74" s="8" t="s">
        <v>8</v>
      </c>
      <c r="D74" s="20">
        <v>69000.0</v>
      </c>
      <c r="E74" s="21">
        <v>1.0</v>
      </c>
      <c r="F74" s="9">
        <v>69000.0</v>
      </c>
      <c r="G74" s="31">
        <v>84.0</v>
      </c>
      <c r="H74" s="8">
        <v>11.0</v>
      </c>
      <c r="I74" s="8">
        <v>102.0</v>
      </c>
      <c r="J74" s="8">
        <v>0.0</v>
      </c>
      <c r="K74" s="8">
        <v>15.0</v>
      </c>
      <c r="L74" s="9">
        <v>952.0</v>
      </c>
      <c r="M74" s="9">
        <v>952.0</v>
      </c>
      <c r="N74" s="9">
        <v>7244.0</v>
      </c>
      <c r="O74" s="9">
        <v>833.0</v>
      </c>
      <c r="P74" s="9">
        <v>250.0</v>
      </c>
      <c r="Q74" s="9">
        <v>6098.0</v>
      </c>
      <c r="R74" s="22">
        <v>5565.0</v>
      </c>
      <c r="S74" s="9">
        <v>3300.0</v>
      </c>
      <c r="T74" s="9">
        <v>2080.0</v>
      </c>
      <c r="U74" s="9">
        <v>0.0</v>
      </c>
      <c r="V74" s="9">
        <v>1005.0</v>
      </c>
      <c r="W74" s="9">
        <v>143.0</v>
      </c>
      <c r="X74" s="9">
        <v>378.0</v>
      </c>
      <c r="Y74" s="9">
        <v>143.0</v>
      </c>
      <c r="Z74" s="9">
        <v>250.0</v>
      </c>
      <c r="AA74" s="9">
        <v>4140.0</v>
      </c>
      <c r="AB74" s="9">
        <v>3450.0</v>
      </c>
      <c r="AC74" s="9">
        <v>31218.0</v>
      </c>
      <c r="AD74" s="9">
        <v>37782.0</v>
      </c>
      <c r="AE74" s="10">
        <v>-0.5935353535353536</v>
      </c>
    </row>
    <row r="75" ht="26.25" hidden="1" customHeight="1">
      <c r="A75" s="11" t="s">
        <v>57</v>
      </c>
      <c r="B75" s="11" t="s">
        <v>48</v>
      </c>
      <c r="C75" s="11" t="s">
        <v>9</v>
      </c>
      <c r="D75" s="24">
        <v>9900.0</v>
      </c>
      <c r="E75" s="25">
        <v>1.0</v>
      </c>
      <c r="F75" s="12">
        <v>9900.0</v>
      </c>
      <c r="G75" s="31">
        <v>89.0</v>
      </c>
      <c r="H75" s="11">
        <v>8.0</v>
      </c>
      <c r="I75" s="11">
        <v>28.0</v>
      </c>
      <c r="J75" s="11">
        <v>16.0</v>
      </c>
      <c r="K75" s="11">
        <v>0.0</v>
      </c>
      <c r="L75" s="12">
        <v>0.0</v>
      </c>
      <c r="M75" s="12">
        <v>1008.0</v>
      </c>
      <c r="N75" s="12">
        <v>1989.0</v>
      </c>
      <c r="O75" s="12">
        <v>833.0</v>
      </c>
      <c r="P75" s="12">
        <v>250.0</v>
      </c>
      <c r="Q75" s="12">
        <v>0.0</v>
      </c>
      <c r="R75" s="26">
        <v>5868.0</v>
      </c>
      <c r="S75" s="12">
        <v>0.0</v>
      </c>
      <c r="T75" s="12">
        <v>694.0</v>
      </c>
      <c r="U75" s="12">
        <v>3000.0</v>
      </c>
      <c r="V75" s="12">
        <v>1063.0</v>
      </c>
      <c r="W75" s="12" t="s">
        <v>47</v>
      </c>
      <c r="X75" s="12" t="s">
        <v>47</v>
      </c>
      <c r="Y75" s="12" t="s">
        <v>47</v>
      </c>
      <c r="Z75" s="12" t="s">
        <v>47</v>
      </c>
      <c r="AA75" s="12">
        <v>594.0</v>
      </c>
      <c r="AB75" s="12">
        <v>495.0</v>
      </c>
      <c r="AC75" s="12">
        <f>SUM(M75:AB75)</f>
        <v>15794</v>
      </c>
      <c r="AD75" s="12">
        <f>F75-AC75</f>
        <v>-5894</v>
      </c>
      <c r="AE75" s="13">
        <f>AD75/F75</f>
        <v>-0.5953535354</v>
      </c>
    </row>
    <row r="76" ht="15.75" hidden="1" customHeight="1">
      <c r="A76" s="5" t="s">
        <v>57</v>
      </c>
      <c r="B76" s="5" t="s">
        <v>49</v>
      </c>
      <c r="C76" s="5" t="s">
        <v>7</v>
      </c>
      <c r="D76" s="17">
        <v>8000.0</v>
      </c>
      <c r="E76" s="18">
        <v>4.0</v>
      </c>
      <c r="F76" s="6">
        <v>32000.0</v>
      </c>
      <c r="G76" s="31">
        <v>87.0</v>
      </c>
      <c r="H76" s="5">
        <v>79.0</v>
      </c>
      <c r="I76" s="5">
        <v>37.0</v>
      </c>
      <c r="J76" s="5">
        <v>0.0</v>
      </c>
      <c r="K76" s="5">
        <v>0.0</v>
      </c>
      <c r="L76" s="6">
        <v>984.0</v>
      </c>
      <c r="M76" s="6">
        <v>984.0</v>
      </c>
      <c r="N76" s="6">
        <v>1250.0</v>
      </c>
      <c r="O76" s="6">
        <v>833.0</v>
      </c>
      <c r="P76" s="6">
        <v>250.0</v>
      </c>
      <c r="Q76" s="6">
        <v>0.0</v>
      </c>
      <c r="R76" s="23" t="s">
        <v>47</v>
      </c>
      <c r="S76" s="6">
        <v>0.0</v>
      </c>
      <c r="T76" s="6">
        <v>0.0</v>
      </c>
      <c r="U76" s="6">
        <v>0.0</v>
      </c>
      <c r="V76" s="6">
        <v>1038.0</v>
      </c>
      <c r="W76" s="6">
        <v>148.0</v>
      </c>
      <c r="X76" s="6">
        <v>391.0</v>
      </c>
      <c r="Y76" s="6">
        <v>590.0</v>
      </c>
      <c r="Z76" s="6">
        <v>125.0</v>
      </c>
      <c r="AA76" s="6">
        <v>1920.0</v>
      </c>
      <c r="AB76" s="6">
        <v>1600.0</v>
      </c>
      <c r="AC76" s="6">
        <v>11357.0</v>
      </c>
      <c r="AD76" s="6">
        <v>20643.0</v>
      </c>
      <c r="AE76" s="7">
        <v>0.17116161616161615</v>
      </c>
    </row>
    <row r="77" ht="15.75" customHeight="1">
      <c r="A77" s="8" t="s">
        <v>57</v>
      </c>
      <c r="B77" s="8" t="s">
        <v>49</v>
      </c>
      <c r="C77" s="8" t="s">
        <v>8</v>
      </c>
      <c r="D77" s="20">
        <v>69000.0</v>
      </c>
      <c r="E77" s="21">
        <v>1.0</v>
      </c>
      <c r="F77" s="9">
        <v>69000.0</v>
      </c>
      <c r="G77" s="31">
        <v>70.0</v>
      </c>
      <c r="H77" s="8">
        <v>11.0</v>
      </c>
      <c r="I77" s="8">
        <v>107.0</v>
      </c>
      <c r="J77" s="8">
        <v>0.0</v>
      </c>
      <c r="K77" s="8">
        <v>17.0</v>
      </c>
      <c r="L77" s="9">
        <v>1005.0</v>
      </c>
      <c r="M77" s="9">
        <v>1005.0</v>
      </c>
      <c r="N77" s="9">
        <v>7599.0</v>
      </c>
      <c r="O77" s="9">
        <v>833.0</v>
      </c>
      <c r="P77" s="9">
        <v>250.0</v>
      </c>
      <c r="Q77" s="9">
        <v>6098.0</v>
      </c>
      <c r="R77" s="22">
        <v>5311.0</v>
      </c>
      <c r="S77" s="9">
        <v>3740.0</v>
      </c>
      <c r="T77" s="9">
        <v>2080.0</v>
      </c>
      <c r="U77" s="9">
        <v>0.0</v>
      </c>
      <c r="V77" s="9">
        <v>1061.0</v>
      </c>
      <c r="W77" s="9">
        <v>151.0</v>
      </c>
      <c r="X77" s="9">
        <v>399.0</v>
      </c>
      <c r="Y77" s="9">
        <v>151.0</v>
      </c>
      <c r="Z77" s="9">
        <v>250.0</v>
      </c>
      <c r="AA77" s="9">
        <v>4140.0</v>
      </c>
      <c r="AB77" s="9">
        <v>3450.0</v>
      </c>
      <c r="AC77" s="9">
        <v>32212.0</v>
      </c>
      <c r="AD77" s="9">
        <v>36788.0</v>
      </c>
      <c r="AE77" s="10">
        <v>0.13297979797979798</v>
      </c>
    </row>
    <row r="78" ht="15.75" hidden="1" customHeight="1">
      <c r="A78" s="5" t="s">
        <v>57</v>
      </c>
      <c r="B78" s="5" t="s">
        <v>50</v>
      </c>
      <c r="C78" s="5" t="s">
        <v>7</v>
      </c>
      <c r="D78" s="17">
        <v>5400.0</v>
      </c>
      <c r="E78" s="18">
        <v>5.0</v>
      </c>
      <c r="F78" s="6">
        <v>27000.0</v>
      </c>
      <c r="G78" s="31">
        <v>106.0</v>
      </c>
      <c r="H78" s="5">
        <v>95.0</v>
      </c>
      <c r="I78" s="5">
        <v>54.0</v>
      </c>
      <c r="J78" s="5">
        <v>0.0</v>
      </c>
      <c r="K78" s="5">
        <v>0.0</v>
      </c>
      <c r="L78" s="6">
        <v>1078.0</v>
      </c>
      <c r="M78" s="6">
        <v>1078.0</v>
      </c>
      <c r="N78" s="6">
        <v>1250.0</v>
      </c>
      <c r="O78" s="6">
        <v>833.0</v>
      </c>
      <c r="P78" s="6">
        <v>250.0</v>
      </c>
      <c r="Q78" s="6">
        <v>0.0</v>
      </c>
      <c r="R78" s="23" t="s">
        <v>47</v>
      </c>
      <c r="S78" s="6">
        <v>0.0</v>
      </c>
      <c r="T78" s="6">
        <v>0.0</v>
      </c>
      <c r="U78" s="6">
        <v>0.0</v>
      </c>
      <c r="V78" s="6">
        <v>1137.0</v>
      </c>
      <c r="W78" s="6">
        <v>162.0</v>
      </c>
      <c r="X78" s="6">
        <v>428.0</v>
      </c>
      <c r="Y78" s="6">
        <v>809.0</v>
      </c>
      <c r="Z78" s="6">
        <v>125.0</v>
      </c>
      <c r="AA78" s="6">
        <v>1620.0</v>
      </c>
      <c r="AB78" s="6">
        <v>1350.0</v>
      </c>
      <c r="AC78" s="6">
        <v>11649.0</v>
      </c>
      <c r="AD78" s="6">
        <v>15351.0</v>
      </c>
      <c r="AE78" s="7">
        <v>-0.6213131313131313</v>
      </c>
    </row>
    <row r="79" ht="26.25" customHeight="1">
      <c r="A79" s="8" t="s">
        <v>57</v>
      </c>
      <c r="B79" s="8" t="s">
        <v>50</v>
      </c>
      <c r="C79" s="8" t="s">
        <v>8</v>
      </c>
      <c r="D79" s="20">
        <v>69000.0</v>
      </c>
      <c r="E79" s="21">
        <v>1.0</v>
      </c>
      <c r="F79" s="9">
        <v>69000.0</v>
      </c>
      <c r="G79" s="31">
        <v>95.0</v>
      </c>
      <c r="H79" s="8">
        <v>10.0</v>
      </c>
      <c r="I79" s="8">
        <v>98.0</v>
      </c>
      <c r="J79" s="8">
        <v>0.0</v>
      </c>
      <c r="K79" s="8">
        <v>17.0</v>
      </c>
      <c r="L79" s="9">
        <v>988.0</v>
      </c>
      <c r="M79" s="9">
        <v>988.0</v>
      </c>
      <c r="N79" s="9">
        <v>6960.0</v>
      </c>
      <c r="O79" s="9">
        <v>833.0</v>
      </c>
      <c r="P79" s="9">
        <v>250.0</v>
      </c>
      <c r="Q79" s="9">
        <v>6098.0</v>
      </c>
      <c r="R79" s="22">
        <v>5756.0</v>
      </c>
      <c r="S79" s="9">
        <v>3740.0</v>
      </c>
      <c r="T79" s="9">
        <v>2080.0</v>
      </c>
      <c r="U79" s="9">
        <v>0.0</v>
      </c>
      <c r="V79" s="9">
        <v>1043.0</v>
      </c>
      <c r="W79" s="9">
        <v>148.0</v>
      </c>
      <c r="X79" s="9">
        <v>392.0</v>
      </c>
      <c r="Y79" s="9">
        <v>148.0</v>
      </c>
      <c r="Z79" s="9">
        <v>250.0</v>
      </c>
      <c r="AA79" s="9">
        <v>4140.0</v>
      </c>
      <c r="AB79" s="9">
        <v>3450.0</v>
      </c>
      <c r="AC79" s="9">
        <v>31508.0</v>
      </c>
      <c r="AD79" s="9">
        <v>37492.0</v>
      </c>
      <c r="AE79" s="10">
        <v>-0.6276767676767677</v>
      </c>
    </row>
    <row r="80" ht="15.75" hidden="1" customHeight="1">
      <c r="A80" s="5" t="s">
        <v>58</v>
      </c>
      <c r="B80" s="5" t="s">
        <v>46</v>
      </c>
      <c r="C80" s="5" t="s">
        <v>7</v>
      </c>
      <c r="D80" s="17">
        <v>4500.0</v>
      </c>
      <c r="E80" s="18">
        <v>4.0</v>
      </c>
      <c r="F80" s="6">
        <v>18000.0</v>
      </c>
      <c r="G80" s="31">
        <v>81.0</v>
      </c>
      <c r="H80" s="5">
        <v>72.0</v>
      </c>
      <c r="I80" s="5">
        <v>38.0</v>
      </c>
      <c r="J80" s="5">
        <v>0.0</v>
      </c>
      <c r="K80" s="5">
        <v>0.0</v>
      </c>
      <c r="L80" s="6">
        <v>994.0</v>
      </c>
      <c r="M80" s="6">
        <v>994.0</v>
      </c>
      <c r="N80" s="6">
        <v>1250.0</v>
      </c>
      <c r="O80" s="6">
        <v>833.0</v>
      </c>
      <c r="P80" s="6">
        <v>250.0</v>
      </c>
      <c r="Q80" s="6">
        <v>0.0</v>
      </c>
      <c r="R80" s="23" t="s">
        <v>47</v>
      </c>
      <c r="S80" s="6">
        <v>0.0</v>
      </c>
      <c r="T80" s="6">
        <v>0.0</v>
      </c>
      <c r="U80" s="6">
        <v>0.0</v>
      </c>
      <c r="V80" s="6">
        <v>1049.0</v>
      </c>
      <c r="W80" s="6">
        <v>149.0</v>
      </c>
      <c r="X80" s="6">
        <v>395.0</v>
      </c>
      <c r="Y80" s="6">
        <v>597.0</v>
      </c>
      <c r="Z80" s="6">
        <v>125.0</v>
      </c>
      <c r="AA80" s="6">
        <v>1080.0</v>
      </c>
      <c r="AB80" s="6">
        <v>900.0</v>
      </c>
      <c r="AC80" s="6">
        <v>10213.0</v>
      </c>
      <c r="AD80" s="6">
        <v>7787.0</v>
      </c>
      <c r="AE80" s="7">
        <v>-0.5482828282828283</v>
      </c>
    </row>
    <row r="81" ht="26.25" customHeight="1">
      <c r="A81" s="8" t="s">
        <v>58</v>
      </c>
      <c r="B81" s="8" t="s">
        <v>46</v>
      </c>
      <c r="C81" s="8" t="s">
        <v>8</v>
      </c>
      <c r="D81" s="20">
        <v>69000.0</v>
      </c>
      <c r="E81" s="21">
        <v>1.0</v>
      </c>
      <c r="F81" s="9">
        <v>69000.0</v>
      </c>
      <c r="G81" s="31">
        <v>78.0</v>
      </c>
      <c r="H81" s="8">
        <v>10.0</v>
      </c>
      <c r="I81" s="8">
        <v>98.0</v>
      </c>
      <c r="J81" s="8">
        <v>0.0</v>
      </c>
      <c r="K81" s="8">
        <v>20.0</v>
      </c>
      <c r="L81" s="9">
        <v>938.0</v>
      </c>
      <c r="M81" s="9">
        <v>938.0</v>
      </c>
      <c r="N81" s="9">
        <v>6960.0</v>
      </c>
      <c r="O81" s="9">
        <v>833.0</v>
      </c>
      <c r="P81" s="9">
        <v>250.0</v>
      </c>
      <c r="Q81" s="9">
        <v>6098.0</v>
      </c>
      <c r="R81" s="22">
        <v>5474.0</v>
      </c>
      <c r="S81" s="9">
        <v>4400.0</v>
      </c>
      <c r="T81" s="9">
        <v>2080.0</v>
      </c>
      <c r="U81" s="9">
        <v>0.0</v>
      </c>
      <c r="V81" s="9">
        <v>990.0</v>
      </c>
      <c r="W81" s="9">
        <v>141.0</v>
      </c>
      <c r="X81" s="9">
        <v>373.0</v>
      </c>
      <c r="Y81" s="9">
        <v>141.0</v>
      </c>
      <c r="Z81" s="9">
        <v>250.0</v>
      </c>
      <c r="AA81" s="9">
        <v>4140.0</v>
      </c>
      <c r="AB81" s="9">
        <v>3450.0</v>
      </c>
      <c r="AC81" s="9">
        <v>31982.0</v>
      </c>
      <c r="AD81" s="9">
        <v>37018.0</v>
      </c>
      <c r="AE81" s="10">
        <v>-0.6155555555555555</v>
      </c>
    </row>
    <row r="82" ht="26.25" hidden="1" customHeight="1">
      <c r="A82" s="11" t="s">
        <v>58</v>
      </c>
      <c r="B82" s="11" t="s">
        <v>46</v>
      </c>
      <c r="C82" s="11" t="s">
        <v>9</v>
      </c>
      <c r="D82" s="24">
        <v>9900.0</v>
      </c>
      <c r="E82" s="25">
        <v>1.0</v>
      </c>
      <c r="F82" s="12">
        <v>9900.0</v>
      </c>
      <c r="G82" s="31">
        <v>98.0</v>
      </c>
      <c r="H82" s="11">
        <v>8.0</v>
      </c>
      <c r="I82" s="11">
        <v>29.0</v>
      </c>
      <c r="J82" s="11">
        <v>23.0</v>
      </c>
      <c r="K82" s="11">
        <v>0.0</v>
      </c>
      <c r="L82" s="12">
        <v>0.0</v>
      </c>
      <c r="M82" s="12">
        <v>1012.0</v>
      </c>
      <c r="N82" s="12">
        <v>2060.0</v>
      </c>
      <c r="O82" s="12">
        <v>833.0</v>
      </c>
      <c r="P82" s="12">
        <v>250.0</v>
      </c>
      <c r="Q82" s="12">
        <v>0.0</v>
      </c>
      <c r="R82" s="26">
        <v>5770.0</v>
      </c>
      <c r="S82" s="12">
        <v>0.0</v>
      </c>
      <c r="T82" s="12">
        <v>694.0</v>
      </c>
      <c r="U82" s="12">
        <v>3000.0</v>
      </c>
      <c r="V82" s="12">
        <v>1068.0</v>
      </c>
      <c r="W82" s="12" t="s">
        <v>47</v>
      </c>
      <c r="X82" s="12" t="s">
        <v>47</v>
      </c>
      <c r="Y82" s="12" t="s">
        <v>47</v>
      </c>
      <c r="Z82" s="12" t="s">
        <v>47</v>
      </c>
      <c r="AA82" s="12">
        <v>594.0</v>
      </c>
      <c r="AB82" s="12">
        <v>495.0</v>
      </c>
      <c r="AC82" s="12">
        <f>SUM(M82:AB82)</f>
        <v>15776</v>
      </c>
      <c r="AD82" s="12">
        <f>F82-AC82</f>
        <v>-5876</v>
      </c>
      <c r="AE82" s="13">
        <f>AD82/F82</f>
        <v>-0.5935353535</v>
      </c>
    </row>
    <row r="83" ht="15.75" hidden="1" customHeight="1">
      <c r="A83" s="5" t="s">
        <v>58</v>
      </c>
      <c r="B83" s="5" t="s">
        <v>48</v>
      </c>
      <c r="C83" s="5" t="s">
        <v>7</v>
      </c>
      <c r="D83" s="17">
        <v>3000.0</v>
      </c>
      <c r="E83" s="18">
        <v>4.0</v>
      </c>
      <c r="F83" s="6">
        <v>12000.0</v>
      </c>
      <c r="G83" s="31">
        <v>72.0</v>
      </c>
      <c r="H83" s="5">
        <v>75.0</v>
      </c>
      <c r="I83" s="5">
        <v>42.0</v>
      </c>
      <c r="J83" s="5">
        <v>0.0</v>
      </c>
      <c r="K83" s="5">
        <v>0.0</v>
      </c>
      <c r="L83" s="6">
        <v>1058.0</v>
      </c>
      <c r="M83" s="6">
        <v>1058.0</v>
      </c>
      <c r="N83" s="6">
        <v>1250.0</v>
      </c>
      <c r="O83" s="6">
        <v>833.0</v>
      </c>
      <c r="P83" s="6">
        <v>250.0</v>
      </c>
      <c r="Q83" s="6">
        <v>0.0</v>
      </c>
      <c r="R83" s="23" t="s">
        <v>47</v>
      </c>
      <c r="S83" s="6">
        <v>0.0</v>
      </c>
      <c r="T83" s="6">
        <v>0.0</v>
      </c>
      <c r="U83" s="6">
        <v>0.0</v>
      </c>
      <c r="V83" s="6">
        <v>1116.0</v>
      </c>
      <c r="W83" s="6">
        <v>159.0</v>
      </c>
      <c r="X83" s="6">
        <v>420.0</v>
      </c>
      <c r="Y83" s="6">
        <v>635.0</v>
      </c>
      <c r="Z83" s="6">
        <v>125.0</v>
      </c>
      <c r="AA83" s="6">
        <v>720.0</v>
      </c>
      <c r="AB83" s="6">
        <v>600.0</v>
      </c>
      <c r="AC83" s="6">
        <v>9721.0</v>
      </c>
      <c r="AD83" s="6">
        <v>2279.0</v>
      </c>
      <c r="AE83" s="7">
        <v>-0.5824242424242424</v>
      </c>
    </row>
    <row r="84" ht="26.25" customHeight="1">
      <c r="A84" s="8" t="s">
        <v>58</v>
      </c>
      <c r="B84" s="8" t="s">
        <v>48</v>
      </c>
      <c r="C84" s="8" t="s">
        <v>8</v>
      </c>
      <c r="D84" s="20">
        <v>69000.0</v>
      </c>
      <c r="E84" s="21">
        <v>1.0</v>
      </c>
      <c r="F84" s="9">
        <v>69000.0</v>
      </c>
      <c r="G84" s="31">
        <v>104.0</v>
      </c>
      <c r="H84" s="8">
        <v>11.0</v>
      </c>
      <c r="I84" s="8">
        <v>108.0</v>
      </c>
      <c r="J84" s="8">
        <v>0.0</v>
      </c>
      <c r="K84" s="8">
        <v>16.0</v>
      </c>
      <c r="L84" s="9">
        <v>1022.0</v>
      </c>
      <c r="M84" s="9">
        <v>1022.0</v>
      </c>
      <c r="N84" s="9">
        <v>7670.0</v>
      </c>
      <c r="O84" s="9">
        <v>833.0</v>
      </c>
      <c r="P84" s="9">
        <v>250.0</v>
      </c>
      <c r="Q84" s="9">
        <v>6098.0</v>
      </c>
      <c r="R84" s="22">
        <v>5918.0</v>
      </c>
      <c r="S84" s="9">
        <v>3520.0</v>
      </c>
      <c r="T84" s="9">
        <v>2080.0</v>
      </c>
      <c r="U84" s="9">
        <v>0.0</v>
      </c>
      <c r="V84" s="9">
        <v>1078.0</v>
      </c>
      <c r="W84" s="9">
        <v>153.0</v>
      </c>
      <c r="X84" s="9">
        <v>406.0</v>
      </c>
      <c r="Y84" s="9">
        <v>153.0</v>
      </c>
      <c r="Z84" s="9">
        <v>250.0</v>
      </c>
      <c r="AA84" s="9">
        <v>4140.0</v>
      </c>
      <c r="AB84" s="9">
        <v>3450.0</v>
      </c>
      <c r="AC84" s="9">
        <v>32125.0</v>
      </c>
      <c r="AD84" s="9">
        <v>36875.0</v>
      </c>
      <c r="AE84" s="10">
        <v>-0.574040404040404</v>
      </c>
    </row>
    <row r="85" ht="26.25" hidden="1" customHeight="1">
      <c r="A85" s="11" t="s">
        <v>58</v>
      </c>
      <c r="B85" s="11" t="s">
        <v>48</v>
      </c>
      <c r="C85" s="11" t="s">
        <v>9</v>
      </c>
      <c r="D85" s="24">
        <v>9900.0</v>
      </c>
      <c r="E85" s="25">
        <v>1.0</v>
      </c>
      <c r="F85" s="12">
        <v>9900.0</v>
      </c>
      <c r="G85" s="31">
        <v>85.0</v>
      </c>
      <c r="H85" s="11">
        <v>7.0</v>
      </c>
      <c r="I85" s="11">
        <v>28.0</v>
      </c>
      <c r="J85" s="11">
        <v>6.0</v>
      </c>
      <c r="K85" s="11">
        <v>0.0</v>
      </c>
      <c r="L85" s="12">
        <v>0.0</v>
      </c>
      <c r="M85" s="12">
        <v>967.0</v>
      </c>
      <c r="N85" s="12">
        <v>1989.0</v>
      </c>
      <c r="O85" s="12">
        <v>833.0</v>
      </c>
      <c r="P85" s="12">
        <v>250.0</v>
      </c>
      <c r="Q85" s="12">
        <v>0.0</v>
      </c>
      <c r="R85" s="26">
        <v>5926.0</v>
      </c>
      <c r="S85" s="12">
        <v>0.0</v>
      </c>
      <c r="T85" s="12">
        <v>694.0</v>
      </c>
      <c r="U85" s="12">
        <v>3000.0</v>
      </c>
      <c r="V85" s="12">
        <v>1020.0</v>
      </c>
      <c r="W85" s="12" t="s">
        <v>47</v>
      </c>
      <c r="X85" s="12" t="s">
        <v>47</v>
      </c>
      <c r="Y85" s="12" t="s">
        <v>47</v>
      </c>
      <c r="Z85" s="12" t="s">
        <v>47</v>
      </c>
      <c r="AA85" s="12">
        <v>594.0</v>
      </c>
      <c r="AB85" s="12">
        <v>495.0</v>
      </c>
      <c r="AC85" s="12">
        <f>SUM(M85:AB85)</f>
        <v>15768</v>
      </c>
      <c r="AD85" s="12">
        <f>F85-AC85</f>
        <v>-5868</v>
      </c>
      <c r="AE85" s="13">
        <f>AD85/F85</f>
        <v>-0.5927272727</v>
      </c>
    </row>
    <row r="86" ht="15.75" hidden="1" customHeight="1">
      <c r="A86" s="5" t="s">
        <v>58</v>
      </c>
      <c r="B86" s="5" t="s">
        <v>49</v>
      </c>
      <c r="C86" s="5" t="s">
        <v>7</v>
      </c>
      <c r="D86" s="17">
        <v>5400.0</v>
      </c>
      <c r="E86" s="18">
        <v>4.0</v>
      </c>
      <c r="F86" s="6">
        <v>21600.0</v>
      </c>
      <c r="G86" s="31">
        <v>91.0</v>
      </c>
      <c r="H86" s="5">
        <v>74.0</v>
      </c>
      <c r="I86" s="5">
        <v>36.0</v>
      </c>
      <c r="J86" s="5">
        <v>0.0</v>
      </c>
      <c r="K86" s="5">
        <v>0.0</v>
      </c>
      <c r="L86" s="6">
        <v>1107.0</v>
      </c>
      <c r="M86" s="6">
        <v>1107.0</v>
      </c>
      <c r="N86" s="6">
        <v>1250.0</v>
      </c>
      <c r="O86" s="6">
        <v>833.0</v>
      </c>
      <c r="P86" s="6">
        <v>250.0</v>
      </c>
      <c r="Q86" s="6">
        <v>0.0</v>
      </c>
      <c r="R86" s="23" t="s">
        <v>47</v>
      </c>
      <c r="S86" s="6">
        <v>0.0</v>
      </c>
      <c r="T86" s="6">
        <v>0.0</v>
      </c>
      <c r="U86" s="6">
        <v>0.0</v>
      </c>
      <c r="V86" s="6">
        <v>1167.0</v>
      </c>
      <c r="W86" s="6">
        <v>166.0</v>
      </c>
      <c r="X86" s="6">
        <v>439.0</v>
      </c>
      <c r="Y86" s="6">
        <v>664.0</v>
      </c>
      <c r="Z86" s="6">
        <v>125.0</v>
      </c>
      <c r="AA86" s="6">
        <v>1296.0</v>
      </c>
      <c r="AB86" s="6">
        <v>1080.0</v>
      </c>
      <c r="AC86" s="6">
        <v>11063.0</v>
      </c>
      <c r="AD86" s="6">
        <v>10537.0</v>
      </c>
      <c r="AE86" s="7">
        <v>-0.6246464646464647</v>
      </c>
    </row>
    <row r="87" ht="15.75" customHeight="1">
      <c r="A87" s="8" t="s">
        <v>58</v>
      </c>
      <c r="B87" s="8" t="s">
        <v>49</v>
      </c>
      <c r="C87" s="8" t="s">
        <v>8</v>
      </c>
      <c r="D87" s="20">
        <v>34500.0</v>
      </c>
      <c r="E87" s="21">
        <v>1.0</v>
      </c>
      <c r="F87" s="9">
        <v>34500.0</v>
      </c>
      <c r="G87" s="31">
        <v>84.0</v>
      </c>
      <c r="H87" s="8">
        <v>10.0</v>
      </c>
      <c r="I87" s="8">
        <v>108.0</v>
      </c>
      <c r="J87" s="8">
        <v>0.0</v>
      </c>
      <c r="K87" s="8">
        <v>8.0</v>
      </c>
      <c r="L87" s="9">
        <v>995.0</v>
      </c>
      <c r="M87" s="9">
        <v>995.0</v>
      </c>
      <c r="N87" s="9">
        <v>7670.0</v>
      </c>
      <c r="O87" s="9">
        <v>833.0</v>
      </c>
      <c r="P87" s="9">
        <v>250.0</v>
      </c>
      <c r="Q87" s="9">
        <v>5098.0</v>
      </c>
      <c r="R87" s="22">
        <v>5149.0</v>
      </c>
      <c r="S87" s="9">
        <v>1760.0</v>
      </c>
      <c r="T87" s="9">
        <v>2080.0</v>
      </c>
      <c r="U87" s="9">
        <v>0.0</v>
      </c>
      <c r="V87" s="9">
        <v>1050.0</v>
      </c>
      <c r="W87" s="9">
        <v>149.0</v>
      </c>
      <c r="X87" s="9">
        <v>395.0</v>
      </c>
      <c r="Y87" s="9">
        <v>149.0</v>
      </c>
      <c r="Z87" s="9">
        <v>250.0</v>
      </c>
      <c r="AA87" s="9">
        <v>2070.0</v>
      </c>
      <c r="AB87" s="9">
        <v>1725.0</v>
      </c>
      <c r="AC87" s="9">
        <v>25469.0</v>
      </c>
      <c r="AD87" s="9">
        <v>9031.0</v>
      </c>
      <c r="AE87" s="10">
        <v>0.261768115942029</v>
      </c>
    </row>
    <row r="88" ht="15.75" hidden="1" customHeight="1">
      <c r="A88" s="5" t="s">
        <v>58</v>
      </c>
      <c r="B88" s="5" t="s">
        <v>50</v>
      </c>
      <c r="C88" s="5" t="s">
        <v>7</v>
      </c>
      <c r="D88" s="17">
        <v>5400.0</v>
      </c>
      <c r="E88" s="18">
        <v>5.0</v>
      </c>
      <c r="F88" s="6">
        <v>27000.0</v>
      </c>
      <c r="G88" s="31">
        <v>92.0</v>
      </c>
      <c r="H88" s="5">
        <v>104.0</v>
      </c>
      <c r="I88" s="5">
        <v>47.0</v>
      </c>
      <c r="J88" s="5">
        <v>0.0</v>
      </c>
      <c r="K88" s="5">
        <v>0.0</v>
      </c>
      <c r="L88" s="6">
        <v>896.0</v>
      </c>
      <c r="M88" s="6">
        <v>896.0</v>
      </c>
      <c r="N88" s="6">
        <v>1250.0</v>
      </c>
      <c r="O88" s="6">
        <v>833.0</v>
      </c>
      <c r="P88" s="6">
        <v>250.0</v>
      </c>
      <c r="Q88" s="6">
        <v>0.0</v>
      </c>
      <c r="R88" s="23" t="s">
        <v>47</v>
      </c>
      <c r="S88" s="6">
        <v>0.0</v>
      </c>
      <c r="T88" s="6">
        <v>0.0</v>
      </c>
      <c r="U88" s="6">
        <v>0.0</v>
      </c>
      <c r="V88" s="6">
        <v>945.0</v>
      </c>
      <c r="W88" s="6">
        <v>134.0</v>
      </c>
      <c r="X88" s="6">
        <v>356.0</v>
      </c>
      <c r="Y88" s="6">
        <v>672.0</v>
      </c>
      <c r="Z88" s="6">
        <v>125.0</v>
      </c>
      <c r="AA88" s="6">
        <v>1620.0</v>
      </c>
      <c r="AB88" s="6">
        <v>1350.0</v>
      </c>
      <c r="AC88" s="6">
        <v>11312.0</v>
      </c>
      <c r="AD88" s="6">
        <v>15688.0</v>
      </c>
      <c r="AE88" s="7">
        <v>0.581037037037037</v>
      </c>
    </row>
    <row r="89" ht="26.25" customHeight="1">
      <c r="A89" s="8" t="s">
        <v>58</v>
      </c>
      <c r="B89" s="8" t="s">
        <v>50</v>
      </c>
      <c r="C89" s="8" t="s">
        <v>8</v>
      </c>
      <c r="D89" s="20">
        <v>34500.0</v>
      </c>
      <c r="E89" s="21">
        <v>1.0</v>
      </c>
      <c r="F89" s="9">
        <v>34500.0</v>
      </c>
      <c r="G89" s="31">
        <v>89.0</v>
      </c>
      <c r="H89" s="8">
        <v>10.0</v>
      </c>
      <c r="I89" s="8">
        <v>99.0</v>
      </c>
      <c r="J89" s="8">
        <v>0.0</v>
      </c>
      <c r="K89" s="8">
        <v>10.0</v>
      </c>
      <c r="L89" s="9">
        <v>1108.0</v>
      </c>
      <c r="M89" s="9">
        <v>1108.0</v>
      </c>
      <c r="N89" s="9">
        <v>7031.0</v>
      </c>
      <c r="O89" s="9">
        <v>833.0</v>
      </c>
      <c r="P89" s="9">
        <v>250.0</v>
      </c>
      <c r="Q89" s="9">
        <v>5098.0</v>
      </c>
      <c r="R89" s="22">
        <v>5446.0</v>
      </c>
      <c r="S89" s="9">
        <v>2200.0</v>
      </c>
      <c r="T89" s="9">
        <v>2080.0</v>
      </c>
      <c r="U89" s="9">
        <v>0.0</v>
      </c>
      <c r="V89" s="9">
        <v>1169.0</v>
      </c>
      <c r="W89" s="9">
        <v>166.0</v>
      </c>
      <c r="X89" s="9">
        <v>440.0</v>
      </c>
      <c r="Y89" s="9">
        <v>166.0</v>
      </c>
      <c r="Z89" s="9">
        <v>250.0</v>
      </c>
      <c r="AA89" s="9">
        <v>2070.0</v>
      </c>
      <c r="AB89" s="9">
        <v>1725.0</v>
      </c>
      <c r="AC89" s="9">
        <v>25694.0</v>
      </c>
      <c r="AD89" s="9">
        <v>8806.0</v>
      </c>
      <c r="AE89" s="10">
        <v>0.255246376811594</v>
      </c>
    </row>
    <row r="90" ht="26.25" hidden="1" customHeight="1">
      <c r="A90" s="11" t="s">
        <v>58</v>
      </c>
      <c r="B90" s="11" t="s">
        <v>50</v>
      </c>
      <c r="C90" s="11" t="s">
        <v>9</v>
      </c>
      <c r="D90" s="24">
        <v>9900.0</v>
      </c>
      <c r="E90" s="25">
        <v>2.0</v>
      </c>
      <c r="F90" s="12">
        <v>19800.0</v>
      </c>
      <c r="G90" s="31">
        <v>87.0</v>
      </c>
      <c r="H90" s="11">
        <v>17.0</v>
      </c>
      <c r="I90" s="11">
        <v>59.0</v>
      </c>
      <c r="J90" s="11">
        <v>39.0</v>
      </c>
      <c r="K90" s="11">
        <v>0.0</v>
      </c>
      <c r="L90" s="12">
        <v>0.0</v>
      </c>
      <c r="M90" s="12">
        <v>1028.0</v>
      </c>
      <c r="N90" s="12">
        <v>3125.0</v>
      </c>
      <c r="O90" s="12">
        <v>833.0</v>
      </c>
      <c r="P90" s="12">
        <v>250.0</v>
      </c>
      <c r="Q90" s="12">
        <v>0.0</v>
      </c>
      <c r="R90" s="26">
        <v>6065.0</v>
      </c>
      <c r="S90" s="12">
        <v>0.0</v>
      </c>
      <c r="T90" s="12">
        <v>347.0</v>
      </c>
      <c r="U90" s="12">
        <v>1500.0</v>
      </c>
      <c r="V90" s="12">
        <v>1085.0</v>
      </c>
      <c r="W90" s="12" t="s">
        <v>47</v>
      </c>
      <c r="X90" s="12" t="s">
        <v>47</v>
      </c>
      <c r="Y90" s="12" t="s">
        <v>47</v>
      </c>
      <c r="Z90" s="12" t="s">
        <v>47</v>
      </c>
      <c r="AA90" s="12">
        <v>1188.0</v>
      </c>
      <c r="AB90" s="12">
        <v>990.0</v>
      </c>
      <c r="AC90" s="12">
        <f>SUM(M90:AB90)</f>
        <v>16411</v>
      </c>
      <c r="AD90" s="12">
        <f>F90-AC90</f>
        <v>3389</v>
      </c>
      <c r="AE90" s="28">
        <f>AD90/F90</f>
        <v>0.1711616162</v>
      </c>
    </row>
    <row r="91" ht="15.75" hidden="1" customHeight="1">
      <c r="A91" s="5" t="s">
        <v>59</v>
      </c>
      <c r="B91" s="5" t="s">
        <v>46</v>
      </c>
      <c r="C91" s="5" t="s">
        <v>7</v>
      </c>
      <c r="D91" s="17">
        <v>8000.0</v>
      </c>
      <c r="E91" s="18">
        <v>5.0</v>
      </c>
      <c r="F91" s="6">
        <v>40000.0</v>
      </c>
      <c r="G91" s="31">
        <v>93.0</v>
      </c>
      <c r="H91" s="5">
        <v>107.0</v>
      </c>
      <c r="I91" s="5">
        <v>46.0</v>
      </c>
      <c r="J91" s="5">
        <v>0.0</v>
      </c>
      <c r="K91" s="5">
        <v>0.0</v>
      </c>
      <c r="L91" s="6">
        <v>888.0</v>
      </c>
      <c r="M91" s="6">
        <v>888.0</v>
      </c>
      <c r="N91" s="6">
        <v>1250.0</v>
      </c>
      <c r="O91" s="6">
        <v>833.0</v>
      </c>
      <c r="P91" s="6">
        <v>250.0</v>
      </c>
      <c r="Q91" s="6">
        <v>0.0</v>
      </c>
      <c r="R91" s="23" t="s">
        <v>47</v>
      </c>
      <c r="S91" s="6">
        <v>0.0</v>
      </c>
      <c r="T91" s="6">
        <v>0.0</v>
      </c>
      <c r="U91" s="6">
        <v>0.0</v>
      </c>
      <c r="V91" s="6">
        <v>937.0</v>
      </c>
      <c r="W91" s="6">
        <v>133.0</v>
      </c>
      <c r="X91" s="6">
        <v>352.0</v>
      </c>
      <c r="Y91" s="6">
        <v>666.0</v>
      </c>
      <c r="Z91" s="6">
        <v>125.0</v>
      </c>
      <c r="AA91" s="6">
        <v>2400.0</v>
      </c>
      <c r="AB91" s="6">
        <v>2000.0</v>
      </c>
      <c r="AC91" s="6">
        <v>11921.0</v>
      </c>
      <c r="AD91" s="6">
        <v>28079.0</v>
      </c>
      <c r="AE91" s="7">
        <v>0.13297979797979798</v>
      </c>
    </row>
    <row r="92" ht="26.25" customHeight="1">
      <c r="A92" s="8" t="s">
        <v>59</v>
      </c>
      <c r="B92" s="8" t="s">
        <v>46</v>
      </c>
      <c r="C92" s="8" t="s">
        <v>8</v>
      </c>
      <c r="D92" s="20">
        <v>69000.0</v>
      </c>
      <c r="E92" s="21">
        <v>1.0</v>
      </c>
      <c r="F92" s="9">
        <v>69000.0</v>
      </c>
      <c r="G92" s="31">
        <v>83.0</v>
      </c>
      <c r="H92" s="8">
        <v>11.0</v>
      </c>
      <c r="I92" s="8">
        <v>95.0</v>
      </c>
      <c r="J92" s="8">
        <v>0.0</v>
      </c>
      <c r="K92" s="8">
        <v>16.0</v>
      </c>
      <c r="L92" s="9">
        <v>943.0</v>
      </c>
      <c r="M92" s="9">
        <v>943.0</v>
      </c>
      <c r="N92" s="9">
        <v>6747.0</v>
      </c>
      <c r="O92" s="9">
        <v>833.0</v>
      </c>
      <c r="P92" s="9">
        <v>250.0</v>
      </c>
      <c r="Q92" s="9">
        <v>6098.0</v>
      </c>
      <c r="R92" s="22">
        <v>5320.0</v>
      </c>
      <c r="S92" s="9">
        <v>3520.0</v>
      </c>
      <c r="T92" s="9">
        <v>2080.0</v>
      </c>
      <c r="U92" s="9">
        <v>0.0</v>
      </c>
      <c r="V92" s="9">
        <v>995.0</v>
      </c>
      <c r="W92" s="9">
        <v>142.0</v>
      </c>
      <c r="X92" s="9">
        <v>375.0</v>
      </c>
      <c r="Y92" s="9">
        <v>142.0</v>
      </c>
      <c r="Z92" s="9">
        <v>250.0</v>
      </c>
      <c r="AA92" s="9">
        <v>4140.0</v>
      </c>
      <c r="AB92" s="9">
        <v>3450.0</v>
      </c>
      <c r="AC92" s="9">
        <v>30908.0</v>
      </c>
      <c r="AD92" s="9">
        <v>38092.0</v>
      </c>
      <c r="AE92" s="10">
        <v>-0.6213131313131313</v>
      </c>
    </row>
    <row r="93" ht="15.75" hidden="1" customHeight="1">
      <c r="A93" s="5" t="s">
        <v>59</v>
      </c>
      <c r="B93" s="5" t="s">
        <v>48</v>
      </c>
      <c r="C93" s="5" t="s">
        <v>7</v>
      </c>
      <c r="D93" s="17">
        <v>10000.0</v>
      </c>
      <c r="E93" s="18">
        <v>5.0</v>
      </c>
      <c r="F93" s="6">
        <v>50000.0</v>
      </c>
      <c r="G93" s="31">
        <v>80.0</v>
      </c>
      <c r="H93" s="5">
        <v>93.0</v>
      </c>
      <c r="I93" s="5">
        <v>46.0</v>
      </c>
      <c r="J93" s="5">
        <v>0.0</v>
      </c>
      <c r="K93" s="5">
        <v>0.0</v>
      </c>
      <c r="L93" s="6">
        <v>934.0</v>
      </c>
      <c r="M93" s="6">
        <v>934.0</v>
      </c>
      <c r="N93" s="6">
        <v>1250.0</v>
      </c>
      <c r="O93" s="6">
        <v>833.0</v>
      </c>
      <c r="P93" s="6">
        <v>250.0</v>
      </c>
      <c r="Q93" s="6">
        <v>0.0</v>
      </c>
      <c r="R93" s="23" t="s">
        <v>47</v>
      </c>
      <c r="S93" s="6">
        <v>0.0</v>
      </c>
      <c r="T93" s="6">
        <v>0.0</v>
      </c>
      <c r="U93" s="6">
        <v>0.0</v>
      </c>
      <c r="V93" s="6">
        <v>985.0</v>
      </c>
      <c r="W93" s="6">
        <v>140.0</v>
      </c>
      <c r="X93" s="6">
        <v>371.0</v>
      </c>
      <c r="Y93" s="6">
        <v>700.0</v>
      </c>
      <c r="Z93" s="6">
        <v>125.0</v>
      </c>
      <c r="AA93" s="6">
        <v>3000.0</v>
      </c>
      <c r="AB93" s="6">
        <v>2500.0</v>
      </c>
      <c r="AC93" s="6">
        <v>14066.0</v>
      </c>
      <c r="AD93" s="6">
        <v>35934.0</v>
      </c>
      <c r="AE93" s="7">
        <v>-0.6276767676767677</v>
      </c>
    </row>
    <row r="94" ht="26.25" customHeight="1">
      <c r="A94" s="8" t="s">
        <v>59</v>
      </c>
      <c r="B94" s="8" t="s">
        <v>48</v>
      </c>
      <c r="C94" s="8" t="s">
        <v>8</v>
      </c>
      <c r="D94" s="20">
        <v>69000.0</v>
      </c>
      <c r="E94" s="21">
        <v>1.0</v>
      </c>
      <c r="F94" s="9">
        <v>69000.0</v>
      </c>
      <c r="G94" s="31">
        <v>96.0</v>
      </c>
      <c r="H94" s="8">
        <v>10.0</v>
      </c>
      <c r="I94" s="8">
        <v>100.0</v>
      </c>
      <c r="J94" s="8">
        <v>0.0</v>
      </c>
      <c r="K94" s="8">
        <v>17.0</v>
      </c>
      <c r="L94" s="9">
        <v>1023.0</v>
      </c>
      <c r="M94" s="9">
        <v>1023.0</v>
      </c>
      <c r="N94" s="9">
        <v>7102.0</v>
      </c>
      <c r="O94" s="9">
        <v>833.0</v>
      </c>
      <c r="P94" s="9">
        <v>250.0</v>
      </c>
      <c r="Q94" s="9">
        <v>6098.0</v>
      </c>
      <c r="R94" s="22">
        <v>5750.0</v>
      </c>
      <c r="S94" s="9">
        <v>3740.0</v>
      </c>
      <c r="T94" s="9">
        <v>2080.0</v>
      </c>
      <c r="U94" s="9">
        <v>0.0</v>
      </c>
      <c r="V94" s="9">
        <v>1079.0</v>
      </c>
      <c r="W94" s="9">
        <v>153.0</v>
      </c>
      <c r="X94" s="9">
        <v>406.0</v>
      </c>
      <c r="Y94" s="9">
        <v>153.0</v>
      </c>
      <c r="Z94" s="9">
        <v>250.0</v>
      </c>
      <c r="AA94" s="9">
        <v>4140.0</v>
      </c>
      <c r="AB94" s="9">
        <v>3450.0</v>
      </c>
      <c r="AC94" s="9">
        <v>31780.0</v>
      </c>
      <c r="AD94" s="9">
        <v>37220.0</v>
      </c>
      <c r="AE94" s="10">
        <v>-0.5482828282828283</v>
      </c>
    </row>
    <row r="95" ht="26.25" hidden="1" customHeight="1">
      <c r="A95" s="11" t="s">
        <v>59</v>
      </c>
      <c r="B95" s="11" t="s">
        <v>48</v>
      </c>
      <c r="C95" s="11" t="s">
        <v>9</v>
      </c>
      <c r="D95" s="24">
        <v>9900.0</v>
      </c>
      <c r="E95" s="25">
        <v>2.0</v>
      </c>
      <c r="F95" s="12">
        <v>19800.0</v>
      </c>
      <c r="G95" s="31">
        <v>78.0</v>
      </c>
      <c r="H95" s="11">
        <v>16.0</v>
      </c>
      <c r="I95" s="11">
        <v>63.0</v>
      </c>
      <c r="J95" s="11">
        <v>54.0</v>
      </c>
      <c r="K95" s="11">
        <v>0.0</v>
      </c>
      <c r="L95" s="12">
        <v>0.0</v>
      </c>
      <c r="M95" s="12">
        <v>977.0</v>
      </c>
      <c r="N95" s="12">
        <v>3125.0</v>
      </c>
      <c r="O95" s="12">
        <v>833.0</v>
      </c>
      <c r="P95" s="12">
        <v>250.0</v>
      </c>
      <c r="Q95" s="12">
        <v>0.0</v>
      </c>
      <c r="R95" s="26">
        <v>6927.0</v>
      </c>
      <c r="S95" s="12">
        <v>0.0</v>
      </c>
      <c r="T95" s="12">
        <v>347.0</v>
      </c>
      <c r="U95" s="12">
        <v>1500.0</v>
      </c>
      <c r="V95" s="12">
        <v>1030.0</v>
      </c>
      <c r="W95" s="12" t="s">
        <v>47</v>
      </c>
      <c r="X95" s="12" t="s">
        <v>47</v>
      </c>
      <c r="Y95" s="12" t="s">
        <v>47</v>
      </c>
      <c r="Z95" s="12" t="s">
        <v>47</v>
      </c>
      <c r="AA95" s="12">
        <v>1188.0</v>
      </c>
      <c r="AB95" s="12">
        <v>990.0</v>
      </c>
      <c r="AC95" s="12">
        <f>SUM(M95:AB95)</f>
        <v>17167</v>
      </c>
      <c r="AD95" s="12">
        <f>F95-AC95</f>
        <v>2633</v>
      </c>
      <c r="AE95" s="28">
        <f>AD95/F95</f>
        <v>0.132979798</v>
      </c>
    </row>
    <row r="96" ht="15.75" hidden="1" customHeight="1">
      <c r="A96" s="5" t="s">
        <v>59</v>
      </c>
      <c r="B96" s="5" t="s">
        <v>49</v>
      </c>
      <c r="C96" s="5" t="s">
        <v>7</v>
      </c>
      <c r="D96" s="17">
        <v>10000.0</v>
      </c>
      <c r="E96" s="18">
        <v>4.0</v>
      </c>
      <c r="F96" s="6">
        <v>40000.0</v>
      </c>
      <c r="G96" s="31">
        <v>98.0</v>
      </c>
      <c r="H96" s="5">
        <v>83.0</v>
      </c>
      <c r="I96" s="5">
        <v>43.0</v>
      </c>
      <c r="J96" s="5">
        <v>0.0</v>
      </c>
      <c r="K96" s="5">
        <v>0.0</v>
      </c>
      <c r="L96" s="6">
        <v>1025.0</v>
      </c>
      <c r="M96" s="6">
        <v>1025.0</v>
      </c>
      <c r="N96" s="6">
        <v>1250.0</v>
      </c>
      <c r="O96" s="6">
        <v>833.0</v>
      </c>
      <c r="P96" s="6">
        <v>250.0</v>
      </c>
      <c r="Q96" s="6">
        <v>0.0</v>
      </c>
      <c r="R96" s="23" t="s">
        <v>47</v>
      </c>
      <c r="S96" s="6">
        <v>0.0</v>
      </c>
      <c r="T96" s="6">
        <v>0.0</v>
      </c>
      <c r="U96" s="6">
        <v>0.0</v>
      </c>
      <c r="V96" s="6">
        <v>1081.0</v>
      </c>
      <c r="W96" s="6">
        <v>154.0</v>
      </c>
      <c r="X96" s="6">
        <v>407.0</v>
      </c>
      <c r="Y96" s="6">
        <v>615.0</v>
      </c>
      <c r="Z96" s="6">
        <v>125.0</v>
      </c>
      <c r="AA96" s="6">
        <v>2400.0</v>
      </c>
      <c r="AB96" s="6">
        <v>2000.0</v>
      </c>
      <c r="AC96" s="6">
        <v>13092.0</v>
      </c>
      <c r="AD96" s="6">
        <v>26908.0</v>
      </c>
      <c r="AE96" s="7">
        <v>-0.49484848484848487</v>
      </c>
    </row>
    <row r="97" ht="15.75" customHeight="1">
      <c r="A97" s="8" t="s">
        <v>59</v>
      </c>
      <c r="B97" s="8" t="s">
        <v>49</v>
      </c>
      <c r="C97" s="8" t="s">
        <v>8</v>
      </c>
      <c r="D97" s="20">
        <v>69000.0</v>
      </c>
      <c r="E97" s="21">
        <v>1.0</v>
      </c>
      <c r="F97" s="9">
        <v>69000.0</v>
      </c>
      <c r="G97" s="31">
        <v>94.0</v>
      </c>
      <c r="H97" s="8">
        <v>10.0</v>
      </c>
      <c r="I97" s="8">
        <v>106.0</v>
      </c>
      <c r="J97" s="8">
        <v>0.0</v>
      </c>
      <c r="K97" s="8">
        <v>16.0</v>
      </c>
      <c r="L97" s="9">
        <v>885.0</v>
      </c>
      <c r="M97" s="9">
        <v>885.0</v>
      </c>
      <c r="N97" s="9">
        <v>7528.0</v>
      </c>
      <c r="O97" s="9">
        <v>833.0</v>
      </c>
      <c r="P97" s="9">
        <v>250.0</v>
      </c>
      <c r="Q97" s="9">
        <v>6098.0</v>
      </c>
      <c r="R97" s="22">
        <v>5254.0</v>
      </c>
      <c r="S97" s="9">
        <v>3520.0</v>
      </c>
      <c r="T97" s="9">
        <v>2080.0</v>
      </c>
      <c r="U97" s="9">
        <v>0.0</v>
      </c>
      <c r="V97" s="9">
        <v>934.0</v>
      </c>
      <c r="W97" s="9">
        <v>133.0</v>
      </c>
      <c r="X97" s="9">
        <v>351.0</v>
      </c>
      <c r="Y97" s="9">
        <v>133.0</v>
      </c>
      <c r="Z97" s="9">
        <v>250.0</v>
      </c>
      <c r="AA97" s="9">
        <v>4140.0</v>
      </c>
      <c r="AB97" s="9">
        <v>3450.0</v>
      </c>
      <c r="AC97" s="9">
        <v>31470.0</v>
      </c>
      <c r="AD97" s="9">
        <v>37530.0</v>
      </c>
      <c r="AE97" s="10">
        <v>-0.5824242424242424</v>
      </c>
    </row>
    <row r="98" ht="15.75" hidden="1" customHeight="1">
      <c r="A98" s="5" t="s">
        <v>59</v>
      </c>
      <c r="B98" s="5" t="s">
        <v>50</v>
      </c>
      <c r="C98" s="5" t="s">
        <v>7</v>
      </c>
      <c r="D98" s="17">
        <v>8000.0</v>
      </c>
      <c r="E98" s="18">
        <v>4.0</v>
      </c>
      <c r="F98" s="6">
        <v>32000.0</v>
      </c>
      <c r="G98" s="31">
        <v>82.0</v>
      </c>
      <c r="H98" s="5">
        <v>88.0</v>
      </c>
      <c r="I98" s="5">
        <v>39.0</v>
      </c>
      <c r="J98" s="5">
        <v>0.0</v>
      </c>
      <c r="K98" s="5">
        <v>0.0</v>
      </c>
      <c r="L98" s="6">
        <v>1005.0</v>
      </c>
      <c r="M98" s="6">
        <v>1005.0</v>
      </c>
      <c r="N98" s="6">
        <v>1250.0</v>
      </c>
      <c r="O98" s="6">
        <v>833.0</v>
      </c>
      <c r="P98" s="6">
        <v>250.0</v>
      </c>
      <c r="Q98" s="6">
        <v>0.0</v>
      </c>
      <c r="R98" s="23" t="s">
        <v>47</v>
      </c>
      <c r="S98" s="6">
        <v>0.0</v>
      </c>
      <c r="T98" s="6">
        <v>0.0</v>
      </c>
      <c r="U98" s="6">
        <v>0.0</v>
      </c>
      <c r="V98" s="6">
        <v>1060.0</v>
      </c>
      <c r="W98" s="6">
        <v>151.0</v>
      </c>
      <c r="X98" s="6">
        <v>399.0</v>
      </c>
      <c r="Y98" s="6">
        <v>603.0</v>
      </c>
      <c r="Z98" s="6">
        <v>125.0</v>
      </c>
      <c r="AA98" s="6">
        <v>1920.0</v>
      </c>
      <c r="AB98" s="6">
        <v>1600.0</v>
      </c>
      <c r="AC98" s="6">
        <v>12432.0</v>
      </c>
      <c r="AD98" s="6">
        <v>19568.0</v>
      </c>
      <c r="AE98" s="7">
        <v>-0.574040404040404</v>
      </c>
    </row>
    <row r="99" ht="26.25" customHeight="1">
      <c r="A99" s="8" t="s">
        <v>59</v>
      </c>
      <c r="B99" s="8" t="s">
        <v>50</v>
      </c>
      <c r="C99" s="8" t="s">
        <v>8</v>
      </c>
      <c r="D99" s="20">
        <v>34500.0</v>
      </c>
      <c r="E99" s="21">
        <v>1.0</v>
      </c>
      <c r="F99" s="9">
        <v>34500.0</v>
      </c>
      <c r="G99" s="31">
        <v>86.0</v>
      </c>
      <c r="H99" s="8">
        <v>10.0</v>
      </c>
      <c r="I99" s="8">
        <v>93.0</v>
      </c>
      <c r="J99" s="8">
        <v>0.0</v>
      </c>
      <c r="K99" s="8">
        <v>9.0</v>
      </c>
      <c r="L99" s="9">
        <v>1113.0</v>
      </c>
      <c r="M99" s="9">
        <v>1113.0</v>
      </c>
      <c r="N99" s="9">
        <v>6605.0</v>
      </c>
      <c r="O99" s="9">
        <v>833.0</v>
      </c>
      <c r="P99" s="9">
        <v>250.0</v>
      </c>
      <c r="Q99" s="9">
        <v>5098.0</v>
      </c>
      <c r="R99" s="22">
        <v>5939.0</v>
      </c>
      <c r="S99" s="9">
        <v>1980.0</v>
      </c>
      <c r="T99" s="9">
        <v>2080.0</v>
      </c>
      <c r="U99" s="9">
        <v>0.0</v>
      </c>
      <c r="V99" s="9">
        <v>1174.0</v>
      </c>
      <c r="W99" s="9">
        <v>167.0</v>
      </c>
      <c r="X99" s="9">
        <v>442.0</v>
      </c>
      <c r="Y99" s="9">
        <v>167.0</v>
      </c>
      <c r="Z99" s="9">
        <v>250.0</v>
      </c>
      <c r="AA99" s="9">
        <v>2070.0</v>
      </c>
      <c r="AB99" s="9">
        <v>1725.0</v>
      </c>
      <c r="AC99" s="9">
        <v>25067.0</v>
      </c>
      <c r="AD99" s="9">
        <v>9433.0</v>
      </c>
      <c r="AE99" s="10">
        <v>-0.638080808080808</v>
      </c>
    </row>
    <row r="100" ht="26.25" hidden="1" customHeight="1">
      <c r="A100" s="11" t="s">
        <v>59</v>
      </c>
      <c r="B100" s="11" t="s">
        <v>50</v>
      </c>
      <c r="C100" s="11" t="s">
        <v>9</v>
      </c>
      <c r="D100" s="24">
        <v>9900.0</v>
      </c>
      <c r="E100" s="25">
        <v>1.0</v>
      </c>
      <c r="F100" s="12">
        <v>9900.0</v>
      </c>
      <c r="G100" s="31">
        <v>90.0</v>
      </c>
      <c r="H100" s="11">
        <v>8.0</v>
      </c>
      <c r="I100" s="11">
        <v>33.0</v>
      </c>
      <c r="J100" s="11">
        <v>6.0</v>
      </c>
      <c r="K100" s="11">
        <v>0.0</v>
      </c>
      <c r="L100" s="12">
        <v>0.0</v>
      </c>
      <c r="M100" s="12">
        <v>979.0</v>
      </c>
      <c r="N100" s="12">
        <v>2344.0</v>
      </c>
      <c r="O100" s="12">
        <v>833.0</v>
      </c>
      <c r="P100" s="12">
        <v>250.0</v>
      </c>
      <c r="Q100" s="12">
        <v>0.0</v>
      </c>
      <c r="R100" s="26">
        <v>5829.0</v>
      </c>
      <c r="S100" s="12">
        <v>0.0</v>
      </c>
      <c r="T100" s="12">
        <v>694.0</v>
      </c>
      <c r="U100" s="12">
        <v>3000.0</v>
      </c>
      <c r="V100" s="12">
        <v>1033.0</v>
      </c>
      <c r="W100" s="12" t="s">
        <v>47</v>
      </c>
      <c r="X100" s="12" t="s">
        <v>47</v>
      </c>
      <c r="Y100" s="12" t="s">
        <v>47</v>
      </c>
      <c r="Z100" s="12" t="s">
        <v>47</v>
      </c>
      <c r="AA100" s="12">
        <v>594.0</v>
      </c>
      <c r="AB100" s="12">
        <v>495.0</v>
      </c>
      <c r="AC100" s="12">
        <f>SUM(M100:AB100)</f>
        <v>16051</v>
      </c>
      <c r="AD100" s="12">
        <f>F100-AC100</f>
        <v>-6151</v>
      </c>
      <c r="AE100" s="13">
        <f>AD100/F100</f>
        <v>-0.6213131313</v>
      </c>
    </row>
    <row r="101" ht="15.75" hidden="1" customHeight="1">
      <c r="A101" s="5" t="s">
        <v>60</v>
      </c>
      <c r="B101" s="5" t="s">
        <v>46</v>
      </c>
      <c r="C101" s="5" t="s">
        <v>7</v>
      </c>
      <c r="D101" s="17">
        <v>8000.0</v>
      </c>
      <c r="E101" s="18">
        <v>4.0</v>
      </c>
      <c r="F101" s="6">
        <v>32000.0</v>
      </c>
      <c r="G101" s="31">
        <v>76.0</v>
      </c>
      <c r="H101" s="5">
        <v>80.0</v>
      </c>
      <c r="I101" s="5">
        <v>36.0</v>
      </c>
      <c r="J101" s="5">
        <v>0.0</v>
      </c>
      <c r="K101" s="5">
        <v>0.0</v>
      </c>
      <c r="L101" s="6">
        <v>911.0</v>
      </c>
      <c r="M101" s="6">
        <v>911.0</v>
      </c>
      <c r="N101" s="6">
        <v>1250.0</v>
      </c>
      <c r="O101" s="6">
        <v>833.0</v>
      </c>
      <c r="P101" s="6">
        <v>250.0</v>
      </c>
      <c r="Q101" s="6">
        <v>0.0</v>
      </c>
      <c r="R101" s="23" t="s">
        <v>47</v>
      </c>
      <c r="S101" s="6">
        <v>0.0</v>
      </c>
      <c r="T101" s="6">
        <v>0.0</v>
      </c>
      <c r="U101" s="6">
        <v>0.0</v>
      </c>
      <c r="V101" s="6">
        <v>962.0</v>
      </c>
      <c r="W101" s="6">
        <v>137.0</v>
      </c>
      <c r="X101" s="6">
        <v>362.0</v>
      </c>
      <c r="Y101" s="6">
        <v>547.0</v>
      </c>
      <c r="Z101" s="6">
        <v>125.0</v>
      </c>
      <c r="AA101" s="6">
        <v>1920.0</v>
      </c>
      <c r="AB101" s="6">
        <v>1600.0</v>
      </c>
      <c r="AC101" s="6">
        <v>11581.0</v>
      </c>
      <c r="AD101" s="6">
        <v>20419.0</v>
      </c>
      <c r="AE101" s="7">
        <v>0.63809375</v>
      </c>
    </row>
    <row r="102" ht="26.25" customHeight="1">
      <c r="A102" s="8" t="s">
        <v>60</v>
      </c>
      <c r="B102" s="8" t="s">
        <v>46</v>
      </c>
      <c r="C102" s="8" t="s">
        <v>8</v>
      </c>
      <c r="D102" s="20">
        <v>69000.0</v>
      </c>
      <c r="E102" s="21">
        <v>1.0</v>
      </c>
      <c r="F102" s="9">
        <v>69000.0</v>
      </c>
      <c r="G102" s="31">
        <v>100.0</v>
      </c>
      <c r="H102" s="8">
        <v>9.0</v>
      </c>
      <c r="I102" s="8">
        <v>99.0</v>
      </c>
      <c r="J102" s="8">
        <v>0.0</v>
      </c>
      <c r="K102" s="8">
        <v>16.0</v>
      </c>
      <c r="L102" s="9">
        <v>1072.0</v>
      </c>
      <c r="M102" s="9">
        <v>1072.0</v>
      </c>
      <c r="N102" s="9">
        <v>7031.0</v>
      </c>
      <c r="O102" s="9">
        <v>833.0</v>
      </c>
      <c r="P102" s="9">
        <v>250.0</v>
      </c>
      <c r="Q102" s="9">
        <v>6098.0</v>
      </c>
      <c r="R102" s="22">
        <v>5871.0</v>
      </c>
      <c r="S102" s="9">
        <v>3520.0</v>
      </c>
      <c r="T102" s="9">
        <v>2080.0</v>
      </c>
      <c r="U102" s="9">
        <v>0.0</v>
      </c>
      <c r="V102" s="9">
        <v>1131.0</v>
      </c>
      <c r="W102" s="9">
        <v>161.0</v>
      </c>
      <c r="X102" s="9">
        <v>426.0</v>
      </c>
      <c r="Y102" s="9">
        <v>161.0</v>
      </c>
      <c r="Z102" s="9">
        <v>250.0</v>
      </c>
      <c r="AA102" s="9">
        <v>4140.0</v>
      </c>
      <c r="AB102" s="9">
        <v>3450.0</v>
      </c>
      <c r="AC102" s="9">
        <v>31675.0</v>
      </c>
      <c r="AD102" s="9">
        <v>37325.0</v>
      </c>
      <c r="AE102" s="10">
        <v>0.540942028985507</v>
      </c>
    </row>
    <row r="103" ht="26.25" hidden="1" customHeight="1">
      <c r="A103" s="11" t="s">
        <v>60</v>
      </c>
      <c r="B103" s="11" t="s">
        <v>46</v>
      </c>
      <c r="C103" s="11" t="s">
        <v>9</v>
      </c>
      <c r="D103" s="24">
        <v>9900.0</v>
      </c>
      <c r="E103" s="25">
        <v>1.0</v>
      </c>
      <c r="F103" s="12">
        <v>9900.0</v>
      </c>
      <c r="G103" s="31">
        <v>90.0</v>
      </c>
      <c r="H103" s="11">
        <v>8.0</v>
      </c>
      <c r="I103" s="11">
        <v>29.0</v>
      </c>
      <c r="J103" s="11">
        <v>28.0</v>
      </c>
      <c r="K103" s="11">
        <v>0.0</v>
      </c>
      <c r="L103" s="12">
        <v>0.0</v>
      </c>
      <c r="M103" s="12">
        <v>1082.0</v>
      </c>
      <c r="N103" s="12">
        <v>2060.0</v>
      </c>
      <c r="O103" s="12">
        <v>833.0</v>
      </c>
      <c r="P103" s="12">
        <v>250.0</v>
      </c>
      <c r="Q103" s="12">
        <v>0.0</v>
      </c>
      <c r="R103" s="26">
        <v>5965.0</v>
      </c>
      <c r="S103" s="12">
        <v>0.0</v>
      </c>
      <c r="T103" s="12">
        <v>694.0</v>
      </c>
      <c r="U103" s="12">
        <v>3000.0</v>
      </c>
      <c r="V103" s="12">
        <v>1141.0</v>
      </c>
      <c r="W103" s="12" t="s">
        <v>47</v>
      </c>
      <c r="X103" s="12" t="s">
        <v>47</v>
      </c>
      <c r="Y103" s="12" t="s">
        <v>47</v>
      </c>
      <c r="Z103" s="12" t="s">
        <v>47</v>
      </c>
      <c r="AA103" s="12">
        <v>594.0</v>
      </c>
      <c r="AB103" s="12">
        <v>495.0</v>
      </c>
      <c r="AC103" s="12">
        <f>SUM(M103:AB103)</f>
        <v>16114</v>
      </c>
      <c r="AD103" s="12">
        <f>F103-AC103</f>
        <v>-6214</v>
      </c>
      <c r="AE103" s="13">
        <f>AD103/F103</f>
        <v>-0.6276767677</v>
      </c>
    </row>
    <row r="104" ht="15.75" hidden="1" customHeight="1">
      <c r="A104" s="5" t="s">
        <v>60</v>
      </c>
      <c r="B104" s="5" t="s">
        <v>48</v>
      </c>
      <c r="C104" s="5" t="s">
        <v>7</v>
      </c>
      <c r="D104" s="17">
        <v>8000.0</v>
      </c>
      <c r="E104" s="18">
        <v>5.0</v>
      </c>
      <c r="F104" s="6">
        <v>40000.0</v>
      </c>
      <c r="G104" s="31">
        <v>86.0</v>
      </c>
      <c r="H104" s="5">
        <v>99.0</v>
      </c>
      <c r="I104" s="5">
        <v>50.0</v>
      </c>
      <c r="J104" s="5">
        <v>0.0</v>
      </c>
      <c r="K104" s="5">
        <v>0.0</v>
      </c>
      <c r="L104" s="6">
        <v>1049.0</v>
      </c>
      <c r="M104" s="6">
        <v>1049.0</v>
      </c>
      <c r="N104" s="6">
        <v>1250.0</v>
      </c>
      <c r="O104" s="6">
        <v>833.0</v>
      </c>
      <c r="P104" s="6">
        <v>250.0</v>
      </c>
      <c r="Q104" s="6">
        <v>0.0</v>
      </c>
      <c r="R104" s="23" t="s">
        <v>47</v>
      </c>
      <c r="S104" s="6">
        <v>0.0</v>
      </c>
      <c r="T104" s="6">
        <v>0.0</v>
      </c>
      <c r="U104" s="6">
        <v>0.0</v>
      </c>
      <c r="V104" s="6">
        <v>1107.0</v>
      </c>
      <c r="W104" s="6">
        <v>157.0</v>
      </c>
      <c r="X104" s="6">
        <v>417.0</v>
      </c>
      <c r="Y104" s="6">
        <v>787.0</v>
      </c>
      <c r="Z104" s="6">
        <v>125.0</v>
      </c>
      <c r="AA104" s="6">
        <v>2400.0</v>
      </c>
      <c r="AB104" s="6">
        <v>2000.0</v>
      </c>
      <c r="AC104" s="6">
        <v>12701.0</v>
      </c>
      <c r="AD104" s="6">
        <v>27299.0</v>
      </c>
      <c r="AE104" s="7">
        <v>-0.5482828282828283</v>
      </c>
    </row>
    <row r="105" ht="26.25" customHeight="1">
      <c r="A105" s="8" t="s">
        <v>60</v>
      </c>
      <c r="B105" s="8" t="s">
        <v>48</v>
      </c>
      <c r="C105" s="8" t="s">
        <v>8</v>
      </c>
      <c r="D105" s="20">
        <v>69000.0</v>
      </c>
      <c r="E105" s="21">
        <v>1.0</v>
      </c>
      <c r="F105" s="9">
        <v>69000.0</v>
      </c>
      <c r="G105" s="31">
        <v>83.0</v>
      </c>
      <c r="H105" s="8">
        <v>9.0</v>
      </c>
      <c r="I105" s="8">
        <v>92.0</v>
      </c>
      <c r="J105" s="8">
        <v>0.0</v>
      </c>
      <c r="K105" s="8">
        <v>19.0</v>
      </c>
      <c r="L105" s="9">
        <v>926.0</v>
      </c>
      <c r="M105" s="9">
        <v>926.0</v>
      </c>
      <c r="N105" s="9">
        <v>6534.0</v>
      </c>
      <c r="O105" s="9">
        <v>833.0</v>
      </c>
      <c r="P105" s="9">
        <v>250.0</v>
      </c>
      <c r="Q105" s="9">
        <v>6098.0</v>
      </c>
      <c r="R105" s="22">
        <v>5773.0</v>
      </c>
      <c r="S105" s="9">
        <v>4180.0</v>
      </c>
      <c r="T105" s="9">
        <v>2080.0</v>
      </c>
      <c r="U105" s="9">
        <v>0.0</v>
      </c>
      <c r="V105" s="9">
        <v>977.0</v>
      </c>
      <c r="W105" s="9">
        <v>139.0</v>
      </c>
      <c r="X105" s="9">
        <v>368.0</v>
      </c>
      <c r="Y105" s="9">
        <v>139.0</v>
      </c>
      <c r="Z105" s="9">
        <v>250.0</v>
      </c>
      <c r="AA105" s="9">
        <v>4140.0</v>
      </c>
      <c r="AB105" s="9">
        <v>3450.0</v>
      </c>
      <c r="AC105" s="9">
        <v>31290.0</v>
      </c>
      <c r="AD105" s="9">
        <v>37710.0</v>
      </c>
      <c r="AE105" s="10">
        <v>-0.6155555555555555</v>
      </c>
    </row>
    <row r="106" ht="26.25" hidden="1" customHeight="1">
      <c r="A106" s="11" t="s">
        <v>60</v>
      </c>
      <c r="B106" s="11" t="s">
        <v>48</v>
      </c>
      <c r="C106" s="11" t="s">
        <v>9</v>
      </c>
      <c r="D106" s="24">
        <v>9900.0</v>
      </c>
      <c r="E106" s="25">
        <v>1.0</v>
      </c>
      <c r="F106" s="12">
        <v>9900.0</v>
      </c>
      <c r="G106" s="31">
        <v>93.0</v>
      </c>
      <c r="H106" s="11">
        <v>8.0</v>
      </c>
      <c r="I106" s="11">
        <v>28.0</v>
      </c>
      <c r="J106" s="11">
        <v>23.0</v>
      </c>
      <c r="K106" s="11">
        <v>0.0</v>
      </c>
      <c r="L106" s="12">
        <v>0.0</v>
      </c>
      <c r="M106" s="12">
        <v>1085.0</v>
      </c>
      <c r="N106" s="12">
        <v>1989.0</v>
      </c>
      <c r="O106" s="12">
        <v>833.0</v>
      </c>
      <c r="P106" s="12">
        <v>250.0</v>
      </c>
      <c r="Q106" s="12">
        <v>0.0</v>
      </c>
      <c r="R106" s="26">
        <v>5243.0</v>
      </c>
      <c r="S106" s="12">
        <v>0.0</v>
      </c>
      <c r="T106" s="12">
        <v>694.0</v>
      </c>
      <c r="U106" s="12">
        <v>3000.0</v>
      </c>
      <c r="V106" s="12">
        <v>1145.0</v>
      </c>
      <c r="W106" s="12" t="s">
        <v>47</v>
      </c>
      <c r="X106" s="12" t="s">
        <v>47</v>
      </c>
      <c r="Y106" s="12" t="s">
        <v>47</v>
      </c>
      <c r="Z106" s="12" t="s">
        <v>47</v>
      </c>
      <c r="AA106" s="12">
        <v>594.0</v>
      </c>
      <c r="AB106" s="12">
        <v>495.0</v>
      </c>
      <c r="AC106" s="12">
        <f>SUM(M106:AB106)</f>
        <v>15328</v>
      </c>
      <c r="AD106" s="12">
        <f>F106-AC106</f>
        <v>-5428</v>
      </c>
      <c r="AE106" s="13">
        <f>AD106/F106</f>
        <v>-0.5482828283</v>
      </c>
    </row>
    <row r="107" ht="15.75" hidden="1" customHeight="1">
      <c r="A107" s="5" t="s">
        <v>60</v>
      </c>
      <c r="B107" s="5" t="s">
        <v>49</v>
      </c>
      <c r="C107" s="5" t="s">
        <v>7</v>
      </c>
      <c r="D107" s="17">
        <v>5400.0</v>
      </c>
      <c r="E107" s="18">
        <v>4.0</v>
      </c>
      <c r="F107" s="6">
        <v>21600.0</v>
      </c>
      <c r="G107" s="5">
        <v>172.0</v>
      </c>
      <c r="H107" s="5">
        <v>79.0</v>
      </c>
      <c r="I107" s="5">
        <v>40.0</v>
      </c>
      <c r="J107" s="5">
        <v>0.0</v>
      </c>
      <c r="K107" s="5">
        <v>0.0</v>
      </c>
      <c r="L107" s="6">
        <v>1019.0</v>
      </c>
      <c r="M107" s="6">
        <v>1019.0</v>
      </c>
      <c r="N107" s="6">
        <v>1250.0</v>
      </c>
      <c r="O107" s="6">
        <v>833.0</v>
      </c>
      <c r="P107" s="6">
        <v>250.0</v>
      </c>
      <c r="Q107" s="6">
        <v>0.0</v>
      </c>
      <c r="R107" s="23" t="s">
        <v>47</v>
      </c>
      <c r="S107" s="6">
        <v>0.0</v>
      </c>
      <c r="T107" s="6">
        <v>0.0</v>
      </c>
      <c r="U107" s="6">
        <v>0.0</v>
      </c>
      <c r="V107" s="6">
        <v>1075.0</v>
      </c>
      <c r="W107" s="6">
        <v>153.0</v>
      </c>
      <c r="X107" s="6">
        <v>405.0</v>
      </c>
      <c r="Y107" s="6">
        <v>612.0</v>
      </c>
      <c r="Z107" s="6">
        <v>125.0</v>
      </c>
      <c r="AA107" s="6">
        <v>1296.0</v>
      </c>
      <c r="AB107" s="6">
        <v>1080.0</v>
      </c>
      <c r="AC107" s="6">
        <v>10644.0</v>
      </c>
      <c r="AD107" s="6">
        <v>10956.0</v>
      </c>
      <c r="AE107" s="7">
        <v>-0.5824242424242424</v>
      </c>
    </row>
    <row r="108" ht="15.75" customHeight="1">
      <c r="A108" s="8" t="s">
        <v>60</v>
      </c>
      <c r="B108" s="8" t="s">
        <v>49</v>
      </c>
      <c r="C108" s="8" t="s">
        <v>8</v>
      </c>
      <c r="D108" s="20">
        <v>34500.0</v>
      </c>
      <c r="E108" s="21">
        <v>1.0</v>
      </c>
      <c r="F108" s="9">
        <v>34500.0</v>
      </c>
      <c r="G108" s="8">
        <v>4.0</v>
      </c>
      <c r="H108" s="8">
        <v>11.0</v>
      </c>
      <c r="I108" s="8">
        <v>111.0</v>
      </c>
      <c r="J108" s="8">
        <v>0.0</v>
      </c>
      <c r="K108" s="8">
        <v>9.0</v>
      </c>
      <c r="L108" s="9">
        <v>1063.0</v>
      </c>
      <c r="M108" s="9">
        <v>1063.0</v>
      </c>
      <c r="N108" s="9">
        <v>7884.0</v>
      </c>
      <c r="O108" s="9">
        <v>833.0</v>
      </c>
      <c r="P108" s="9">
        <v>250.0</v>
      </c>
      <c r="Q108" s="9">
        <v>5098.0</v>
      </c>
      <c r="R108" s="22">
        <v>5261.0</v>
      </c>
      <c r="S108" s="9">
        <v>1980.0</v>
      </c>
      <c r="T108" s="9">
        <v>2080.0</v>
      </c>
      <c r="U108" s="9">
        <v>0.0</v>
      </c>
      <c r="V108" s="9">
        <v>1122.0</v>
      </c>
      <c r="W108" s="9">
        <v>159.0</v>
      </c>
      <c r="X108" s="9">
        <v>422.0</v>
      </c>
      <c r="Y108" s="9">
        <v>159.0</v>
      </c>
      <c r="Z108" s="9">
        <v>250.0</v>
      </c>
      <c r="AA108" s="9">
        <v>2070.0</v>
      </c>
      <c r="AB108" s="9">
        <v>1725.0</v>
      </c>
      <c r="AC108" s="9">
        <v>26158.0</v>
      </c>
      <c r="AD108" s="9">
        <v>8342.0</v>
      </c>
      <c r="AE108" s="10">
        <v>-0.574040404040404</v>
      </c>
    </row>
    <row r="109" ht="15.75" hidden="1" customHeight="1">
      <c r="A109" s="11" t="s">
        <v>60</v>
      </c>
      <c r="B109" s="11" t="s">
        <v>49</v>
      </c>
      <c r="C109" s="11" t="s">
        <v>9</v>
      </c>
      <c r="D109" s="24">
        <v>9900.0</v>
      </c>
      <c r="E109" s="25">
        <v>1.0</v>
      </c>
      <c r="F109" s="12">
        <v>9900.0</v>
      </c>
      <c r="G109" s="11">
        <v>0.0</v>
      </c>
      <c r="H109" s="11">
        <v>8.0</v>
      </c>
      <c r="I109" s="11">
        <v>31.0</v>
      </c>
      <c r="J109" s="11">
        <v>28.0</v>
      </c>
      <c r="K109" s="11">
        <v>0.0</v>
      </c>
      <c r="L109" s="12">
        <v>0.0</v>
      </c>
      <c r="M109" s="12">
        <v>972.0</v>
      </c>
      <c r="N109" s="12">
        <v>2202.0</v>
      </c>
      <c r="O109" s="12">
        <v>833.0</v>
      </c>
      <c r="P109" s="12">
        <v>250.0</v>
      </c>
      <c r="Q109" s="12">
        <v>0.0</v>
      </c>
      <c r="R109" s="26">
        <v>5929.0</v>
      </c>
      <c r="S109" s="12">
        <v>0.0</v>
      </c>
      <c r="T109" s="12">
        <v>694.0</v>
      </c>
      <c r="U109" s="12">
        <v>3000.0</v>
      </c>
      <c r="V109" s="12">
        <v>1025.0</v>
      </c>
      <c r="W109" s="12" t="s">
        <v>47</v>
      </c>
      <c r="X109" s="12" t="s">
        <v>47</v>
      </c>
      <c r="Y109" s="12" t="s">
        <v>47</v>
      </c>
      <c r="Z109" s="12" t="s">
        <v>47</v>
      </c>
      <c r="AA109" s="12">
        <v>594.0</v>
      </c>
      <c r="AB109" s="12">
        <v>495.0</v>
      </c>
      <c r="AC109" s="12">
        <f>SUM(M109:AB109)</f>
        <v>15994</v>
      </c>
      <c r="AD109" s="12">
        <f>F109-AC109</f>
        <v>-6094</v>
      </c>
      <c r="AE109" s="13">
        <f>AD109/F109</f>
        <v>-0.6155555556</v>
      </c>
    </row>
    <row r="110" ht="15.75" hidden="1" customHeight="1">
      <c r="A110" s="5" t="s">
        <v>60</v>
      </c>
      <c r="B110" s="5" t="s">
        <v>50</v>
      </c>
      <c r="C110" s="5" t="s">
        <v>7</v>
      </c>
      <c r="D110" s="17">
        <v>4500.0</v>
      </c>
      <c r="E110" s="18">
        <v>5.0</v>
      </c>
      <c r="F110" s="6">
        <v>22500.0</v>
      </c>
      <c r="G110" s="5">
        <v>176.0</v>
      </c>
      <c r="H110" s="5">
        <v>93.0</v>
      </c>
      <c r="I110" s="5">
        <v>55.0</v>
      </c>
      <c r="J110" s="5">
        <v>0.0</v>
      </c>
      <c r="K110" s="5">
        <v>0.0</v>
      </c>
      <c r="L110" s="6">
        <v>1117.0</v>
      </c>
      <c r="M110" s="6">
        <v>1117.0</v>
      </c>
      <c r="N110" s="6">
        <v>1250.0</v>
      </c>
      <c r="O110" s="6">
        <v>833.0</v>
      </c>
      <c r="P110" s="6">
        <v>250.0</v>
      </c>
      <c r="Q110" s="6">
        <v>0.0</v>
      </c>
      <c r="R110" s="23" t="s">
        <v>47</v>
      </c>
      <c r="S110" s="6">
        <v>0.0</v>
      </c>
      <c r="T110" s="6">
        <v>0.0</v>
      </c>
      <c r="U110" s="6">
        <v>0.0</v>
      </c>
      <c r="V110" s="6">
        <v>1179.0</v>
      </c>
      <c r="W110" s="6">
        <v>168.0</v>
      </c>
      <c r="X110" s="6">
        <v>444.0</v>
      </c>
      <c r="Y110" s="6">
        <v>838.0</v>
      </c>
      <c r="Z110" s="6">
        <v>125.0</v>
      </c>
      <c r="AA110" s="6">
        <v>1350.0</v>
      </c>
      <c r="AB110" s="6">
        <v>1125.0</v>
      </c>
      <c r="AC110" s="6">
        <v>11125.0</v>
      </c>
      <c r="AD110" s="6">
        <v>11375.0</v>
      </c>
      <c r="AE110" s="7">
        <v>-0.6246464646464647</v>
      </c>
    </row>
    <row r="111" ht="15.75" customHeight="1">
      <c r="A111" s="8" t="s">
        <v>60</v>
      </c>
      <c r="B111" s="8" t="s">
        <v>50</v>
      </c>
      <c r="C111" s="8" t="s">
        <v>8</v>
      </c>
      <c r="D111" s="20">
        <v>34500.0</v>
      </c>
      <c r="E111" s="21">
        <v>1.0</v>
      </c>
      <c r="F111" s="9">
        <v>34500.0</v>
      </c>
      <c r="G111" s="8">
        <v>0.0</v>
      </c>
      <c r="H111" s="8">
        <v>11.0</v>
      </c>
      <c r="I111" s="8">
        <v>93.0</v>
      </c>
      <c r="J111" s="8">
        <v>0.0</v>
      </c>
      <c r="K111" s="8">
        <v>12.0</v>
      </c>
      <c r="L111" s="9">
        <v>1112.0</v>
      </c>
      <c r="M111" s="9">
        <v>1112.0</v>
      </c>
      <c r="N111" s="9">
        <v>6605.0</v>
      </c>
      <c r="O111" s="9">
        <v>833.0</v>
      </c>
      <c r="P111" s="9">
        <v>250.0</v>
      </c>
      <c r="Q111" s="9">
        <v>5098.0</v>
      </c>
      <c r="R111" s="22">
        <v>5998.0</v>
      </c>
      <c r="S111" s="9">
        <v>2640.0</v>
      </c>
      <c r="T111" s="9">
        <v>2080.0</v>
      </c>
      <c r="U111" s="9">
        <v>0.0</v>
      </c>
      <c r="V111" s="9">
        <v>1173.0</v>
      </c>
      <c r="W111" s="9">
        <v>167.0</v>
      </c>
      <c r="X111" s="9">
        <v>441.0</v>
      </c>
      <c r="Y111" s="9">
        <v>167.0</v>
      </c>
      <c r="Z111" s="9">
        <v>250.0</v>
      </c>
      <c r="AA111" s="9">
        <v>2070.0</v>
      </c>
      <c r="AB111" s="9">
        <v>1725.0</v>
      </c>
      <c r="AC111" s="9">
        <v>25723.0</v>
      </c>
      <c r="AD111" s="9">
        <v>8777.0</v>
      </c>
      <c r="AE111" s="10">
        <v>0.254405797101449</v>
      </c>
    </row>
    <row r="112" ht="15.75" hidden="1" customHeight="1">
      <c r="A112" s="11" t="s">
        <v>60</v>
      </c>
      <c r="B112" s="11" t="s">
        <v>50</v>
      </c>
      <c r="C112" s="11" t="s">
        <v>9</v>
      </c>
      <c r="D112" s="24">
        <v>9900.0</v>
      </c>
      <c r="E112" s="25">
        <v>1.0</v>
      </c>
      <c r="F112" s="12">
        <v>9900.0</v>
      </c>
      <c r="G112" s="11">
        <v>0.0</v>
      </c>
      <c r="H112" s="11">
        <v>9.0</v>
      </c>
      <c r="I112" s="11">
        <v>28.0</v>
      </c>
      <c r="J112" s="11">
        <v>25.0</v>
      </c>
      <c r="K112" s="11">
        <v>0.0</v>
      </c>
      <c r="L112" s="12">
        <v>0.0</v>
      </c>
      <c r="M112" s="12">
        <v>884.0</v>
      </c>
      <c r="N112" s="12">
        <v>1989.0</v>
      </c>
      <c r="O112" s="12">
        <v>833.0</v>
      </c>
      <c r="P112" s="12">
        <v>250.0</v>
      </c>
      <c r="Q112" s="12">
        <v>0.0</v>
      </c>
      <c r="R112" s="26">
        <v>5128.0</v>
      </c>
      <c r="S112" s="12">
        <v>0.0</v>
      </c>
      <c r="T112" s="12">
        <v>694.0</v>
      </c>
      <c r="U112" s="12">
        <v>3000.0</v>
      </c>
      <c r="V112" s="12">
        <v>932.0</v>
      </c>
      <c r="W112" s="12" t="s">
        <v>47</v>
      </c>
      <c r="X112" s="12" t="s">
        <v>47</v>
      </c>
      <c r="Y112" s="12" t="s">
        <v>47</v>
      </c>
      <c r="Z112" s="12" t="s">
        <v>47</v>
      </c>
      <c r="AA112" s="12">
        <v>594.0</v>
      </c>
      <c r="AB112" s="12">
        <v>495.0</v>
      </c>
      <c r="AC112" s="12">
        <f>SUM(M112:AB112)</f>
        <v>14799</v>
      </c>
      <c r="AD112" s="12">
        <f>F112-AC112</f>
        <v>-4899</v>
      </c>
      <c r="AE112" s="13">
        <f>AD112/F112</f>
        <v>-0.4948484848</v>
      </c>
    </row>
    <row r="113" ht="15.75" hidden="1" customHeight="1">
      <c r="A113" s="5" t="s">
        <v>61</v>
      </c>
      <c r="B113" s="5" t="s">
        <v>46</v>
      </c>
      <c r="C113" s="5" t="s">
        <v>7</v>
      </c>
      <c r="D113" s="17">
        <v>4500.0</v>
      </c>
      <c r="E113" s="18">
        <v>5.0</v>
      </c>
      <c r="F113" s="6">
        <v>22500.0</v>
      </c>
      <c r="G113" s="5">
        <v>176.0</v>
      </c>
      <c r="H113" s="5">
        <v>92.0</v>
      </c>
      <c r="I113" s="5">
        <v>51.0</v>
      </c>
      <c r="J113" s="5">
        <v>0.0</v>
      </c>
      <c r="K113" s="5">
        <v>0.0</v>
      </c>
      <c r="L113" s="6">
        <v>1119.0</v>
      </c>
      <c r="M113" s="6">
        <v>1119.0</v>
      </c>
      <c r="N113" s="6">
        <v>1250.0</v>
      </c>
      <c r="O113" s="6">
        <v>833.0</v>
      </c>
      <c r="P113" s="6">
        <v>250.0</v>
      </c>
      <c r="Q113" s="6">
        <v>0.0</v>
      </c>
      <c r="R113" s="23" t="s">
        <v>47</v>
      </c>
      <c r="S113" s="6">
        <v>0.0</v>
      </c>
      <c r="T113" s="6">
        <v>0.0</v>
      </c>
      <c r="U113" s="6">
        <v>0.0</v>
      </c>
      <c r="V113" s="6">
        <v>1181.0</v>
      </c>
      <c r="W113" s="6">
        <v>168.0</v>
      </c>
      <c r="X113" s="6">
        <v>444.0</v>
      </c>
      <c r="Y113" s="6">
        <v>840.0</v>
      </c>
      <c r="Z113" s="6">
        <v>125.0</v>
      </c>
      <c r="AA113" s="6">
        <v>1350.0</v>
      </c>
      <c r="AB113" s="6">
        <v>1125.0</v>
      </c>
      <c r="AC113" s="6">
        <v>12389.0</v>
      </c>
      <c r="AD113" s="6">
        <v>10111.0</v>
      </c>
      <c r="AE113" s="7">
        <v>-0.5824242424242424</v>
      </c>
    </row>
    <row r="114" ht="15.75" customHeight="1">
      <c r="A114" s="8" t="s">
        <v>61</v>
      </c>
      <c r="B114" s="8" t="s">
        <v>46</v>
      </c>
      <c r="C114" s="8" t="s">
        <v>8</v>
      </c>
      <c r="D114" s="20">
        <v>69000.0</v>
      </c>
      <c r="E114" s="21">
        <v>1.0</v>
      </c>
      <c r="F114" s="9">
        <v>69000.0</v>
      </c>
      <c r="G114" s="8">
        <v>0.0</v>
      </c>
      <c r="H114" s="8">
        <v>9.0</v>
      </c>
      <c r="I114" s="8">
        <v>107.0</v>
      </c>
      <c r="J114" s="8">
        <v>0.0</v>
      </c>
      <c r="K114" s="8">
        <v>16.0</v>
      </c>
      <c r="L114" s="9">
        <v>986.0</v>
      </c>
      <c r="M114" s="9">
        <v>986.0</v>
      </c>
      <c r="N114" s="9">
        <v>7599.0</v>
      </c>
      <c r="O114" s="9">
        <v>833.0</v>
      </c>
      <c r="P114" s="9">
        <v>250.0</v>
      </c>
      <c r="Q114" s="9">
        <v>6098.0</v>
      </c>
      <c r="R114" s="22">
        <v>5840.0</v>
      </c>
      <c r="S114" s="9">
        <v>3520.0</v>
      </c>
      <c r="T114" s="9">
        <v>2080.0</v>
      </c>
      <c r="U114" s="9">
        <v>0.0</v>
      </c>
      <c r="V114" s="9">
        <v>1041.0</v>
      </c>
      <c r="W114" s="9">
        <v>148.0</v>
      </c>
      <c r="X114" s="9">
        <v>392.0</v>
      </c>
      <c r="Y114" s="9">
        <v>148.0</v>
      </c>
      <c r="Z114" s="9">
        <v>250.0</v>
      </c>
      <c r="AA114" s="9">
        <v>4140.0</v>
      </c>
      <c r="AB114" s="9">
        <v>3450.0</v>
      </c>
      <c r="AC114" s="9">
        <v>31921.0</v>
      </c>
      <c r="AD114" s="9">
        <v>37079.0</v>
      </c>
      <c r="AE114" s="10">
        <v>-0.574040404040404</v>
      </c>
    </row>
    <row r="115" ht="15.75" hidden="1" customHeight="1">
      <c r="A115" s="11" t="s">
        <v>61</v>
      </c>
      <c r="B115" s="11" t="s">
        <v>46</v>
      </c>
      <c r="C115" s="11" t="s">
        <v>9</v>
      </c>
      <c r="D115" s="24">
        <v>9900.0</v>
      </c>
      <c r="E115" s="25">
        <v>1.0</v>
      </c>
      <c r="F115" s="12">
        <v>9900.0</v>
      </c>
      <c r="G115" s="11">
        <v>0.0</v>
      </c>
      <c r="H115" s="11">
        <v>8.0</v>
      </c>
      <c r="I115" s="11">
        <v>33.0</v>
      </c>
      <c r="J115" s="11">
        <v>9.0</v>
      </c>
      <c r="K115" s="11">
        <v>0.0</v>
      </c>
      <c r="L115" s="12">
        <v>0.0</v>
      </c>
      <c r="M115" s="12">
        <v>970.0</v>
      </c>
      <c r="N115" s="12">
        <v>2344.0</v>
      </c>
      <c r="O115" s="12">
        <v>833.0</v>
      </c>
      <c r="P115" s="12">
        <v>250.0</v>
      </c>
      <c r="Q115" s="12">
        <v>0.0</v>
      </c>
      <c r="R115" s="26">
        <v>5463.0</v>
      </c>
      <c r="S115" s="12">
        <v>0.0</v>
      </c>
      <c r="T115" s="12">
        <v>694.0</v>
      </c>
      <c r="U115" s="12">
        <v>3000.0</v>
      </c>
      <c r="V115" s="12">
        <v>1023.0</v>
      </c>
      <c r="W115" s="12" t="s">
        <v>47</v>
      </c>
      <c r="X115" s="12" t="s">
        <v>47</v>
      </c>
      <c r="Y115" s="12" t="s">
        <v>47</v>
      </c>
      <c r="Z115" s="12" t="s">
        <v>47</v>
      </c>
      <c r="AA115" s="12">
        <v>594.0</v>
      </c>
      <c r="AB115" s="12">
        <v>495.0</v>
      </c>
      <c r="AC115" s="12">
        <f>SUM(M115:AB115)</f>
        <v>15666</v>
      </c>
      <c r="AD115" s="12">
        <f>F115-AC115</f>
        <v>-5766</v>
      </c>
      <c r="AE115" s="13">
        <f>AD115/F115</f>
        <v>-0.5824242424</v>
      </c>
    </row>
    <row r="116" ht="15.75" hidden="1" customHeight="1">
      <c r="A116" s="5" t="s">
        <v>61</v>
      </c>
      <c r="B116" s="5" t="s">
        <v>48</v>
      </c>
      <c r="C116" s="5" t="s">
        <v>7</v>
      </c>
      <c r="D116" s="17">
        <v>5400.0</v>
      </c>
      <c r="E116" s="18">
        <v>5.0</v>
      </c>
      <c r="F116" s="6">
        <v>27000.0</v>
      </c>
      <c r="G116" s="5">
        <v>176.0</v>
      </c>
      <c r="H116" s="5">
        <v>108.0</v>
      </c>
      <c r="I116" s="5">
        <v>46.0</v>
      </c>
      <c r="J116" s="5">
        <v>0.0</v>
      </c>
      <c r="K116" s="5">
        <v>0.0</v>
      </c>
      <c r="L116" s="6">
        <v>1089.0</v>
      </c>
      <c r="M116" s="6">
        <v>1089.0</v>
      </c>
      <c r="N116" s="6">
        <v>1250.0</v>
      </c>
      <c r="O116" s="6">
        <v>833.0</v>
      </c>
      <c r="P116" s="6">
        <v>250.0</v>
      </c>
      <c r="Q116" s="6">
        <v>0.0</v>
      </c>
      <c r="R116" s="23" t="s">
        <v>47</v>
      </c>
      <c r="S116" s="6">
        <v>0.0</v>
      </c>
      <c r="T116" s="6">
        <v>0.0</v>
      </c>
      <c r="U116" s="6">
        <v>0.0</v>
      </c>
      <c r="V116" s="6">
        <v>1149.0</v>
      </c>
      <c r="W116" s="6">
        <v>163.0</v>
      </c>
      <c r="X116" s="6">
        <v>432.0</v>
      </c>
      <c r="Y116" s="6">
        <v>817.0</v>
      </c>
      <c r="Z116" s="6">
        <v>125.0</v>
      </c>
      <c r="AA116" s="6">
        <v>1620.0</v>
      </c>
      <c r="AB116" s="6">
        <v>1350.0</v>
      </c>
      <c r="AC116" s="6">
        <v>12009.0</v>
      </c>
      <c r="AD116" s="6">
        <v>14991.0</v>
      </c>
      <c r="AE116" s="7">
        <v>-0.6246464646464647</v>
      </c>
    </row>
    <row r="117" ht="15.75" customHeight="1">
      <c r="A117" s="8" t="s">
        <v>61</v>
      </c>
      <c r="B117" s="8" t="s">
        <v>48</v>
      </c>
      <c r="C117" s="8" t="s">
        <v>8</v>
      </c>
      <c r="D117" s="20">
        <v>34500.0</v>
      </c>
      <c r="E117" s="21">
        <v>1.0</v>
      </c>
      <c r="F117" s="9">
        <v>34500.0</v>
      </c>
      <c r="G117" s="8">
        <v>0.0</v>
      </c>
      <c r="H117" s="8">
        <v>11.0</v>
      </c>
      <c r="I117" s="8">
        <v>109.0</v>
      </c>
      <c r="J117" s="8">
        <v>0.0</v>
      </c>
      <c r="K117" s="8">
        <v>11.0</v>
      </c>
      <c r="L117" s="9">
        <v>941.0</v>
      </c>
      <c r="M117" s="9">
        <v>941.0</v>
      </c>
      <c r="N117" s="9">
        <v>7741.0</v>
      </c>
      <c r="O117" s="9">
        <v>833.0</v>
      </c>
      <c r="P117" s="9">
        <v>250.0</v>
      </c>
      <c r="Q117" s="9">
        <v>5098.0</v>
      </c>
      <c r="R117" s="22">
        <v>5610.0</v>
      </c>
      <c r="S117" s="9">
        <v>2420.0</v>
      </c>
      <c r="T117" s="9">
        <v>2080.0</v>
      </c>
      <c r="U117" s="9">
        <v>0.0</v>
      </c>
      <c r="V117" s="9">
        <v>993.0</v>
      </c>
      <c r="W117" s="9">
        <v>141.0</v>
      </c>
      <c r="X117" s="9">
        <v>374.0</v>
      </c>
      <c r="Y117" s="9">
        <v>141.0</v>
      </c>
      <c r="Z117" s="9">
        <v>250.0</v>
      </c>
      <c r="AA117" s="9">
        <v>2070.0</v>
      </c>
      <c r="AB117" s="9">
        <v>1725.0</v>
      </c>
      <c r="AC117" s="9">
        <v>25998.0</v>
      </c>
      <c r="AD117" s="9">
        <v>8502.0</v>
      </c>
      <c r="AE117" s="10">
        <v>0.246434782608696</v>
      </c>
    </row>
    <row r="118" ht="15.75" hidden="1" customHeight="1">
      <c r="A118" s="11" t="s">
        <v>61</v>
      </c>
      <c r="B118" s="11" t="s">
        <v>48</v>
      </c>
      <c r="C118" s="11" t="s">
        <v>9</v>
      </c>
      <c r="D118" s="24">
        <v>9900.0</v>
      </c>
      <c r="E118" s="25">
        <v>1.0</v>
      </c>
      <c r="F118" s="12">
        <v>9900.0</v>
      </c>
      <c r="G118" s="11">
        <v>0.0</v>
      </c>
      <c r="H118" s="11">
        <v>8.0</v>
      </c>
      <c r="I118" s="11">
        <v>32.0</v>
      </c>
      <c r="J118" s="11">
        <v>16.0</v>
      </c>
      <c r="K118" s="11">
        <v>0.0</v>
      </c>
      <c r="L118" s="12">
        <v>0.0</v>
      </c>
      <c r="M118" s="12">
        <v>918.0</v>
      </c>
      <c r="N118" s="12">
        <v>2273.0</v>
      </c>
      <c r="O118" s="12">
        <v>833.0</v>
      </c>
      <c r="P118" s="12">
        <v>250.0</v>
      </c>
      <c r="Q118" s="12">
        <v>0.0</v>
      </c>
      <c r="R118" s="26">
        <v>5558.0</v>
      </c>
      <c r="S118" s="12">
        <v>0.0</v>
      </c>
      <c r="T118" s="12">
        <v>694.0</v>
      </c>
      <c r="U118" s="12">
        <v>3000.0</v>
      </c>
      <c r="V118" s="12">
        <v>968.0</v>
      </c>
      <c r="W118" s="12" t="s">
        <v>47</v>
      </c>
      <c r="X118" s="12" t="s">
        <v>47</v>
      </c>
      <c r="Y118" s="12" t="s">
        <v>47</v>
      </c>
      <c r="Z118" s="12" t="s">
        <v>47</v>
      </c>
      <c r="AA118" s="12">
        <v>594.0</v>
      </c>
      <c r="AB118" s="12">
        <v>495.0</v>
      </c>
      <c r="AC118" s="12">
        <f>SUM(M118:AB118)</f>
        <v>15583</v>
      </c>
      <c r="AD118" s="12">
        <f>F118-AC118</f>
        <v>-5683</v>
      </c>
      <c r="AE118" s="13">
        <f>AD118/F118</f>
        <v>-0.574040404</v>
      </c>
    </row>
    <row r="119" ht="15.75" hidden="1" customHeight="1">
      <c r="A119" s="5" t="s">
        <v>61</v>
      </c>
      <c r="B119" s="5" t="s">
        <v>49</v>
      </c>
      <c r="C119" s="5" t="s">
        <v>7</v>
      </c>
      <c r="D119" s="17">
        <v>8000.0</v>
      </c>
      <c r="E119" s="18">
        <v>5.0</v>
      </c>
      <c r="F119" s="6">
        <v>40000.0</v>
      </c>
      <c r="G119" s="5">
        <v>176.0</v>
      </c>
      <c r="H119" s="5">
        <v>100.0</v>
      </c>
      <c r="I119" s="5">
        <v>47.0</v>
      </c>
      <c r="J119" s="5">
        <v>0.0</v>
      </c>
      <c r="K119" s="5">
        <v>0.0</v>
      </c>
      <c r="L119" s="6">
        <v>1083.0</v>
      </c>
      <c r="M119" s="6">
        <v>1083.0</v>
      </c>
      <c r="N119" s="6">
        <v>1250.0</v>
      </c>
      <c r="O119" s="6">
        <v>833.0</v>
      </c>
      <c r="P119" s="6">
        <v>250.0</v>
      </c>
      <c r="Q119" s="6">
        <v>0.0</v>
      </c>
      <c r="R119" s="23" t="s">
        <v>47</v>
      </c>
      <c r="S119" s="6">
        <v>0.0</v>
      </c>
      <c r="T119" s="6">
        <v>0.0</v>
      </c>
      <c r="U119" s="6">
        <v>0.0</v>
      </c>
      <c r="V119" s="6">
        <v>1142.0</v>
      </c>
      <c r="W119" s="6">
        <v>162.0</v>
      </c>
      <c r="X119" s="6">
        <v>430.0</v>
      </c>
      <c r="Y119" s="6">
        <v>812.0</v>
      </c>
      <c r="Z119" s="6">
        <v>125.0</v>
      </c>
      <c r="AA119" s="6">
        <v>2400.0</v>
      </c>
      <c r="AB119" s="6">
        <v>2000.0</v>
      </c>
      <c r="AC119" s="6">
        <v>13582.0</v>
      </c>
      <c r="AD119" s="6">
        <v>26418.0</v>
      </c>
      <c r="AE119" s="7">
        <v>-0.638080808080808</v>
      </c>
    </row>
    <row r="120" ht="15.75" customHeight="1">
      <c r="A120" s="8" t="s">
        <v>61</v>
      </c>
      <c r="B120" s="8" t="s">
        <v>49</v>
      </c>
      <c r="C120" s="8" t="s">
        <v>8</v>
      </c>
      <c r="D120" s="20">
        <v>103500.0</v>
      </c>
      <c r="E120" s="21">
        <v>1.0</v>
      </c>
      <c r="F120" s="9">
        <v>103500.0</v>
      </c>
      <c r="G120" s="8">
        <v>0.0</v>
      </c>
      <c r="H120" s="8">
        <v>11.0</v>
      </c>
      <c r="I120" s="8">
        <v>104.0</v>
      </c>
      <c r="J120" s="8">
        <v>0.0</v>
      </c>
      <c r="K120" s="8">
        <v>28.0</v>
      </c>
      <c r="L120" s="9">
        <v>1018.0</v>
      </c>
      <c r="M120" s="9">
        <v>1018.0</v>
      </c>
      <c r="N120" s="9">
        <v>7386.0</v>
      </c>
      <c r="O120" s="9">
        <v>833.0</v>
      </c>
      <c r="P120" s="9">
        <v>250.0</v>
      </c>
      <c r="Q120" s="9">
        <v>7098.0</v>
      </c>
      <c r="R120" s="22">
        <v>5803.0</v>
      </c>
      <c r="S120" s="9">
        <v>6160.0</v>
      </c>
      <c r="T120" s="9">
        <v>2080.0</v>
      </c>
      <c r="U120" s="9">
        <v>0.0</v>
      </c>
      <c r="V120" s="9">
        <v>1074.0</v>
      </c>
      <c r="W120" s="9">
        <v>153.0</v>
      </c>
      <c r="X120" s="9">
        <v>404.0</v>
      </c>
      <c r="Y120" s="9">
        <v>153.0</v>
      </c>
      <c r="Z120" s="9">
        <v>250.0</v>
      </c>
      <c r="AA120" s="9">
        <v>6210.0</v>
      </c>
      <c r="AB120" s="9">
        <v>5175.0</v>
      </c>
      <c r="AC120" s="9">
        <v>39262.0</v>
      </c>
      <c r="AD120" s="9">
        <v>64238.0</v>
      </c>
      <c r="AE120" s="10">
        <v>-0.6246464646464647</v>
      </c>
    </row>
    <row r="121" ht="15.75" hidden="1" customHeight="1">
      <c r="A121" s="11" t="s">
        <v>61</v>
      </c>
      <c r="B121" s="11" t="s">
        <v>49</v>
      </c>
      <c r="C121" s="11" t="s">
        <v>9</v>
      </c>
      <c r="D121" s="24">
        <v>9900.0</v>
      </c>
      <c r="E121" s="25">
        <v>1.0</v>
      </c>
      <c r="F121" s="12">
        <v>9900.0</v>
      </c>
      <c r="G121" s="11">
        <v>0.0</v>
      </c>
      <c r="H121" s="11">
        <v>7.0</v>
      </c>
      <c r="I121" s="11">
        <v>32.0</v>
      </c>
      <c r="J121" s="11">
        <v>17.0</v>
      </c>
      <c r="K121" s="11">
        <v>0.0</v>
      </c>
      <c r="L121" s="12">
        <v>0.0</v>
      </c>
      <c r="M121" s="12">
        <v>1016.0</v>
      </c>
      <c r="N121" s="12">
        <v>2273.0</v>
      </c>
      <c r="O121" s="12">
        <v>833.0</v>
      </c>
      <c r="P121" s="12">
        <v>250.0</v>
      </c>
      <c r="Q121" s="12">
        <v>0.0</v>
      </c>
      <c r="R121" s="26">
        <v>5990.0</v>
      </c>
      <c r="S121" s="12">
        <v>0.0</v>
      </c>
      <c r="T121" s="12">
        <v>694.0</v>
      </c>
      <c r="U121" s="12">
        <v>3000.0</v>
      </c>
      <c r="V121" s="12">
        <v>1072.0</v>
      </c>
      <c r="W121" s="12" t="s">
        <v>47</v>
      </c>
      <c r="X121" s="12" t="s">
        <v>47</v>
      </c>
      <c r="Y121" s="12" t="s">
        <v>47</v>
      </c>
      <c r="Z121" s="12" t="s">
        <v>47</v>
      </c>
      <c r="AA121" s="12">
        <v>594.0</v>
      </c>
      <c r="AB121" s="12">
        <v>495.0</v>
      </c>
      <c r="AC121" s="12">
        <f>SUM(M121:AB121)</f>
        <v>16217</v>
      </c>
      <c r="AD121" s="12">
        <f>F121-AC121</f>
        <v>-6317</v>
      </c>
      <c r="AE121" s="13">
        <f>AD121/F121</f>
        <v>-0.6380808081</v>
      </c>
    </row>
    <row r="122" ht="15.75" hidden="1" customHeight="1">
      <c r="A122" s="5" t="s">
        <v>61</v>
      </c>
      <c r="B122" s="5" t="s">
        <v>50</v>
      </c>
      <c r="C122" s="5" t="s">
        <v>7</v>
      </c>
      <c r="D122" s="17">
        <v>4500.0</v>
      </c>
      <c r="E122" s="18">
        <v>4.0</v>
      </c>
      <c r="F122" s="6">
        <v>18000.0</v>
      </c>
      <c r="G122" s="5">
        <v>163.0</v>
      </c>
      <c r="H122" s="5">
        <v>78.0</v>
      </c>
      <c r="I122" s="5">
        <v>41.0</v>
      </c>
      <c r="J122" s="5">
        <v>0.0</v>
      </c>
      <c r="K122" s="5">
        <v>0.0</v>
      </c>
      <c r="L122" s="6">
        <v>949.0</v>
      </c>
      <c r="M122" s="6">
        <v>949.0</v>
      </c>
      <c r="N122" s="6">
        <v>1250.0</v>
      </c>
      <c r="O122" s="6">
        <v>833.0</v>
      </c>
      <c r="P122" s="6">
        <v>250.0</v>
      </c>
      <c r="Q122" s="6">
        <v>0.0</v>
      </c>
      <c r="R122" s="23" t="s">
        <v>47</v>
      </c>
      <c r="S122" s="6">
        <v>0.0</v>
      </c>
      <c r="T122" s="6">
        <v>0.0</v>
      </c>
      <c r="U122" s="6">
        <v>0.0</v>
      </c>
      <c r="V122" s="6">
        <v>1001.0</v>
      </c>
      <c r="W122" s="6">
        <v>142.0</v>
      </c>
      <c r="X122" s="6">
        <v>377.0</v>
      </c>
      <c r="Y122" s="6">
        <v>569.0</v>
      </c>
      <c r="Z122" s="6">
        <v>125.0</v>
      </c>
      <c r="AA122" s="6">
        <v>1080.0</v>
      </c>
      <c r="AB122" s="6">
        <v>900.0</v>
      </c>
      <c r="AC122" s="6">
        <v>10257.0</v>
      </c>
      <c r="AD122" s="6">
        <v>7743.0</v>
      </c>
      <c r="AE122" s="7">
        <v>-0.6246464646464647</v>
      </c>
    </row>
    <row r="123" ht="15.75" customHeight="1">
      <c r="A123" s="8" t="s">
        <v>61</v>
      </c>
      <c r="B123" s="8" t="s">
        <v>50</v>
      </c>
      <c r="C123" s="8" t="s">
        <v>8</v>
      </c>
      <c r="D123" s="20">
        <v>69000.0</v>
      </c>
      <c r="E123" s="21">
        <v>1.0</v>
      </c>
      <c r="F123" s="9">
        <v>69000.0</v>
      </c>
      <c r="G123" s="8">
        <v>8.0</v>
      </c>
      <c r="H123" s="8">
        <v>11.0</v>
      </c>
      <c r="I123" s="8">
        <v>104.0</v>
      </c>
      <c r="J123" s="8">
        <v>0.0</v>
      </c>
      <c r="K123" s="8">
        <v>20.0</v>
      </c>
      <c r="L123" s="9">
        <v>1043.0</v>
      </c>
      <c r="M123" s="9">
        <v>1043.0</v>
      </c>
      <c r="N123" s="9">
        <v>7386.0</v>
      </c>
      <c r="O123" s="9">
        <v>833.0</v>
      </c>
      <c r="P123" s="9">
        <v>250.0</v>
      </c>
      <c r="Q123" s="9">
        <v>6098.0</v>
      </c>
      <c r="R123" s="22">
        <v>5756.0</v>
      </c>
      <c r="S123" s="9">
        <v>4400.0</v>
      </c>
      <c r="T123" s="9">
        <v>2080.0</v>
      </c>
      <c r="U123" s="9">
        <v>0.0</v>
      </c>
      <c r="V123" s="9">
        <v>1100.0</v>
      </c>
      <c r="W123" s="9">
        <v>156.0</v>
      </c>
      <c r="X123" s="9">
        <v>414.0</v>
      </c>
      <c r="Y123" s="9">
        <v>156.0</v>
      </c>
      <c r="Z123" s="9">
        <v>250.0</v>
      </c>
      <c r="AA123" s="9">
        <v>4140.0</v>
      </c>
      <c r="AB123" s="9">
        <v>3450.0</v>
      </c>
      <c r="AC123" s="9">
        <v>32799.0</v>
      </c>
      <c r="AD123" s="9">
        <v>36201.0</v>
      </c>
      <c r="AE123" s="10">
        <v>0.524652173913044</v>
      </c>
    </row>
    <row r="124" ht="15.75" hidden="1" customHeight="1">
      <c r="A124" s="11" t="s">
        <v>61</v>
      </c>
      <c r="B124" s="11" t="s">
        <v>50</v>
      </c>
      <c r="C124" s="11" t="s">
        <v>9</v>
      </c>
      <c r="D124" s="24">
        <v>9900.0</v>
      </c>
      <c r="E124" s="25">
        <v>1.0</v>
      </c>
      <c r="F124" s="12">
        <v>9900.0</v>
      </c>
      <c r="G124" s="11">
        <v>0.0</v>
      </c>
      <c r="H124" s="11">
        <v>8.0</v>
      </c>
      <c r="I124" s="11">
        <v>32.0</v>
      </c>
      <c r="J124" s="11">
        <v>7.0</v>
      </c>
      <c r="K124" s="11">
        <v>0.0</v>
      </c>
      <c r="L124" s="12">
        <v>0.0</v>
      </c>
      <c r="M124" s="12">
        <v>1035.0</v>
      </c>
      <c r="N124" s="12">
        <v>2273.0</v>
      </c>
      <c r="O124" s="12">
        <v>833.0</v>
      </c>
      <c r="P124" s="12">
        <v>250.0</v>
      </c>
      <c r="Q124" s="12">
        <v>0.0</v>
      </c>
      <c r="R124" s="26">
        <v>5818.0</v>
      </c>
      <c r="S124" s="12">
        <v>0.0</v>
      </c>
      <c r="T124" s="12">
        <v>694.0</v>
      </c>
      <c r="U124" s="12">
        <v>3000.0</v>
      </c>
      <c r="V124" s="12">
        <v>1092.0</v>
      </c>
      <c r="W124" s="12" t="s">
        <v>47</v>
      </c>
      <c r="X124" s="12" t="s">
        <v>47</v>
      </c>
      <c r="Y124" s="12" t="s">
        <v>47</v>
      </c>
      <c r="Z124" s="12" t="s">
        <v>47</v>
      </c>
      <c r="AA124" s="12">
        <v>594.0</v>
      </c>
      <c r="AB124" s="12">
        <v>495.0</v>
      </c>
      <c r="AC124" s="12">
        <f>SUM(M124:AB124)</f>
        <v>16084</v>
      </c>
      <c r="AD124" s="12">
        <f>F124-AC124</f>
        <v>-6184</v>
      </c>
      <c r="AE124" s="13">
        <f>AD124/F124</f>
        <v>-0.6246464646</v>
      </c>
    </row>
    <row r="125" ht="15.75" hidden="1" customHeight="1">
      <c r="A125" s="32" t="s">
        <v>10</v>
      </c>
      <c r="B125" s="32"/>
      <c r="C125" s="32"/>
      <c r="D125" s="32"/>
      <c r="E125" s="32">
        <f t="shared" ref="E125:AD125" si="1">SUM(E3:E124)</f>
        <v>284</v>
      </c>
      <c r="F125" s="33">
        <f t="shared" si="1"/>
        <v>4563000</v>
      </c>
      <c r="G125" s="32">
        <f t="shared" si="1"/>
        <v>9338</v>
      </c>
      <c r="H125" s="32">
        <f t="shared" si="1"/>
        <v>4800</v>
      </c>
      <c r="I125" s="32">
        <f t="shared" si="1"/>
        <v>7858</v>
      </c>
      <c r="J125" s="32">
        <f t="shared" si="1"/>
        <v>588</v>
      </c>
      <c r="K125" s="32">
        <f t="shared" si="1"/>
        <v>793</v>
      </c>
      <c r="L125" s="33">
        <f t="shared" si="1"/>
        <v>96509</v>
      </c>
      <c r="M125" s="33">
        <f t="shared" si="1"/>
        <v>122188</v>
      </c>
      <c r="N125" s="33">
        <f t="shared" si="1"/>
        <v>467592</v>
      </c>
      <c r="O125" s="33">
        <f t="shared" si="1"/>
        <v>101626</v>
      </c>
      <c r="P125" s="33">
        <f t="shared" si="1"/>
        <v>30500</v>
      </c>
      <c r="Q125" s="33">
        <f t="shared" si="1"/>
        <v>281704</v>
      </c>
      <c r="R125" s="33">
        <f t="shared" si="1"/>
        <v>419499</v>
      </c>
      <c r="S125" s="33">
        <f t="shared" si="1"/>
        <v>174460</v>
      </c>
      <c r="T125" s="33">
        <f t="shared" si="1"/>
        <v>116149</v>
      </c>
      <c r="U125" s="33">
        <f t="shared" si="1"/>
        <v>70500</v>
      </c>
      <c r="V125" s="33">
        <f t="shared" si="1"/>
        <v>128906</v>
      </c>
      <c r="W125" s="33">
        <f t="shared" si="1"/>
        <v>14478</v>
      </c>
      <c r="X125" s="33">
        <f t="shared" si="1"/>
        <v>33817</v>
      </c>
      <c r="Y125" s="33">
        <f t="shared" si="1"/>
        <v>31287</v>
      </c>
      <c r="Z125" s="33">
        <f t="shared" si="1"/>
        <v>16625</v>
      </c>
      <c r="AA125" s="33">
        <f t="shared" si="1"/>
        <v>273780</v>
      </c>
      <c r="AB125" s="33">
        <f t="shared" si="1"/>
        <v>228150</v>
      </c>
      <c r="AC125" s="33">
        <f t="shared" si="1"/>
        <v>2433458</v>
      </c>
      <c r="AD125" s="33">
        <f t="shared" si="1"/>
        <v>2129542</v>
      </c>
      <c r="AE125" s="34">
        <f>IF(F125=0,0,AD125/F125)</f>
        <v>0.4666977865</v>
      </c>
    </row>
    <row r="126" ht="15.75" customHeight="1"/>
    <row r="127" ht="15.75" customHeight="1">
      <c r="AF127" s="35" t="str">
        <f>AVERAGE(AF7:AF124)</f>
        <v>#DIV/0!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E$125">
    <filterColumn colId="2">
      <filters>
        <filter val="Formatação"/>
      </filters>
    </filterColumn>
  </autoFilter>
  <mergeCells count="6">
    <mergeCell ref="A1:C1"/>
    <mergeCell ref="D1:F1"/>
    <mergeCell ref="G1:K1"/>
    <mergeCell ref="L1:P1"/>
    <mergeCell ref="Q1:Y1"/>
    <mergeCell ref="Z1:AA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24.0"/>
    <col customWidth="1" min="3" max="26" width="8.71"/>
  </cols>
  <sheetData>
    <row r="1" ht="15.0" customHeight="1">
      <c r="A1" s="1" t="s">
        <v>62</v>
      </c>
      <c r="B1" s="3"/>
    </row>
    <row r="2">
      <c r="A2" s="4" t="s">
        <v>63</v>
      </c>
      <c r="B2" s="4" t="s">
        <v>64</v>
      </c>
    </row>
    <row r="3">
      <c r="A3" s="36" t="s">
        <v>65</v>
      </c>
      <c r="B3" s="37" t="s">
        <v>66</v>
      </c>
    </row>
    <row r="4">
      <c r="A4" s="38" t="s">
        <v>67</v>
      </c>
      <c r="B4" s="37" t="s">
        <v>68</v>
      </c>
    </row>
    <row r="5">
      <c r="A5" s="36" t="s">
        <v>69</v>
      </c>
      <c r="B5" s="37" t="s">
        <v>70</v>
      </c>
    </row>
    <row r="6">
      <c r="A6" s="38" t="s">
        <v>71</v>
      </c>
      <c r="B6" s="37" t="s">
        <v>72</v>
      </c>
    </row>
    <row r="7">
      <c r="A7" s="36" t="s">
        <v>73</v>
      </c>
      <c r="B7" s="37" t="s">
        <v>74</v>
      </c>
    </row>
    <row r="8">
      <c r="A8" s="38" t="s">
        <v>75</v>
      </c>
      <c r="B8" s="37" t="s">
        <v>76</v>
      </c>
    </row>
    <row r="9">
      <c r="A9" s="36" t="s">
        <v>77</v>
      </c>
      <c r="B9" s="37" t="s">
        <v>78</v>
      </c>
    </row>
    <row r="10">
      <c r="A10" s="38" t="s">
        <v>79</v>
      </c>
      <c r="B10" s="37" t="s">
        <v>80</v>
      </c>
    </row>
    <row r="11">
      <c r="A11" s="36" t="s">
        <v>81</v>
      </c>
      <c r="B11" s="37" t="s">
        <v>82</v>
      </c>
    </row>
    <row r="12">
      <c r="A12" s="38" t="s">
        <v>83</v>
      </c>
      <c r="B12" s="37" t="s">
        <v>84</v>
      </c>
    </row>
    <row r="14" ht="15.0" customHeight="1">
      <c r="A14" s="1" t="s">
        <v>85</v>
      </c>
      <c r="B14" s="3"/>
    </row>
    <row r="15">
      <c r="A15" s="36" t="s">
        <v>86</v>
      </c>
      <c r="B15" s="37" t="s">
        <v>87</v>
      </c>
    </row>
    <row r="16">
      <c r="A16" s="38" t="s">
        <v>88</v>
      </c>
      <c r="B16" s="37" t="s">
        <v>89</v>
      </c>
    </row>
    <row r="17">
      <c r="A17" s="36" t="s">
        <v>90</v>
      </c>
      <c r="B17" s="37" t="s">
        <v>91</v>
      </c>
    </row>
    <row r="19" ht="15.0" customHeight="1">
      <c r="A19" s="1" t="s">
        <v>92</v>
      </c>
      <c r="B19" s="3"/>
    </row>
    <row r="20">
      <c r="A20" s="38" t="s">
        <v>86</v>
      </c>
      <c r="B20" s="37" t="s">
        <v>93</v>
      </c>
    </row>
    <row r="21" ht="15.75" customHeight="1">
      <c r="A21" s="36" t="s">
        <v>88</v>
      </c>
      <c r="B21" s="37" t="s">
        <v>94</v>
      </c>
    </row>
    <row r="22" ht="15.75" customHeight="1">
      <c r="A22" s="38" t="s">
        <v>90</v>
      </c>
      <c r="B22" s="37" t="s">
        <v>95</v>
      </c>
    </row>
    <row r="23" ht="15.75" customHeight="1"/>
    <row r="24" ht="15.0" customHeight="1">
      <c r="A24" s="1" t="s">
        <v>96</v>
      </c>
      <c r="B24" s="3"/>
    </row>
    <row r="25" ht="15.75" customHeight="1">
      <c r="A25" s="36" t="s">
        <v>97</v>
      </c>
      <c r="B25" s="37" t="s">
        <v>98</v>
      </c>
    </row>
    <row r="26" ht="15.75" customHeight="1">
      <c r="A26" s="38" t="s">
        <v>99</v>
      </c>
      <c r="B26" s="37" t="s">
        <v>100</v>
      </c>
    </row>
    <row r="27" ht="15.75" customHeight="1">
      <c r="A27" s="36" t="s">
        <v>101</v>
      </c>
      <c r="B27" s="37" t="s">
        <v>102</v>
      </c>
    </row>
    <row r="28" ht="15.75" customHeight="1">
      <c r="A28" s="38" t="s">
        <v>103</v>
      </c>
      <c r="B28" s="37" t="s">
        <v>104</v>
      </c>
    </row>
    <row r="29" ht="15.75" customHeight="1">
      <c r="A29" s="36" t="s">
        <v>105</v>
      </c>
      <c r="B29" s="37" t="s">
        <v>106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14:B14"/>
    <mergeCell ref="A19:B19"/>
    <mergeCell ref="A24:B2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5" width="14.0"/>
    <col customWidth="1" min="6" max="8" width="20.0"/>
    <col customWidth="1" min="9" max="26" width="8.71"/>
  </cols>
  <sheetData>
    <row r="1" ht="15.0" customHeight="1">
      <c r="A1" s="1" t="s">
        <v>107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108</v>
      </c>
      <c r="C2" s="4" t="s">
        <v>109</v>
      </c>
      <c r="D2" s="4" t="s">
        <v>110</v>
      </c>
      <c r="E2" s="4" t="s">
        <v>111</v>
      </c>
      <c r="F2" s="4" t="s">
        <v>112</v>
      </c>
      <c r="G2" s="4" t="s">
        <v>113</v>
      </c>
      <c r="H2" s="4" t="s">
        <v>6</v>
      </c>
    </row>
    <row r="3">
      <c r="A3" s="5" t="s">
        <v>7</v>
      </c>
      <c r="B3" s="5" t="s">
        <v>114</v>
      </c>
      <c r="C3" s="5" t="s">
        <v>115</v>
      </c>
      <c r="D3" s="5" t="s">
        <v>116</v>
      </c>
      <c r="E3" s="5" t="s">
        <v>117</v>
      </c>
      <c r="F3" s="5" t="s">
        <v>118</v>
      </c>
      <c r="G3" s="5" t="s">
        <v>118</v>
      </c>
      <c r="H3" s="5" t="s">
        <v>119</v>
      </c>
    </row>
    <row r="4">
      <c r="A4" s="8" t="s">
        <v>8</v>
      </c>
      <c r="B4" s="8" t="s">
        <v>120</v>
      </c>
      <c r="C4" s="8" t="s">
        <v>121</v>
      </c>
      <c r="D4" s="8" t="s">
        <v>122</v>
      </c>
      <c r="E4" s="8" t="s">
        <v>123</v>
      </c>
      <c r="F4" s="8" t="s">
        <v>124</v>
      </c>
      <c r="G4" s="8" t="s">
        <v>124</v>
      </c>
      <c r="H4" s="8" t="s">
        <v>125</v>
      </c>
    </row>
    <row r="5">
      <c r="A5" s="11" t="s">
        <v>9</v>
      </c>
      <c r="B5" s="11" t="s">
        <v>126</v>
      </c>
      <c r="C5" s="11" t="s">
        <v>127</v>
      </c>
      <c r="D5" s="11" t="s">
        <v>128</v>
      </c>
      <c r="E5" s="11" t="s">
        <v>129</v>
      </c>
      <c r="F5" s="11" t="s">
        <v>130</v>
      </c>
      <c r="G5" s="11" t="s">
        <v>130</v>
      </c>
      <c r="H5" s="11" t="s">
        <v>131</v>
      </c>
    </row>
    <row r="6" ht="15.0" customHeight="1">
      <c r="A6" s="39" t="s">
        <v>132</v>
      </c>
      <c r="B6" s="2"/>
      <c r="C6" s="2"/>
      <c r="D6" s="2"/>
      <c r="E6" s="2"/>
      <c r="F6" s="2"/>
      <c r="G6" s="2"/>
      <c r="H6" s="3"/>
    </row>
    <row r="7">
      <c r="A7" s="4" t="s">
        <v>1</v>
      </c>
      <c r="B7" s="4" t="s">
        <v>133</v>
      </c>
      <c r="C7" s="4" t="s">
        <v>134</v>
      </c>
      <c r="D7" s="4" t="s">
        <v>135</v>
      </c>
      <c r="E7" s="4" t="s">
        <v>136</v>
      </c>
      <c r="F7" s="4" t="s">
        <v>137</v>
      </c>
    </row>
    <row r="8">
      <c r="A8" s="5" t="s">
        <v>7</v>
      </c>
      <c r="B8" s="5" t="s">
        <v>138</v>
      </c>
      <c r="C8" s="6">
        <v>7354.25</v>
      </c>
      <c r="D8" s="5">
        <v>0.046</v>
      </c>
      <c r="E8" s="40" t="s">
        <v>139</v>
      </c>
      <c r="F8" s="5" t="s">
        <v>11</v>
      </c>
    </row>
    <row r="9">
      <c r="A9" s="5"/>
      <c r="B9" s="5" t="s">
        <v>140</v>
      </c>
      <c r="C9" s="6">
        <v>240.84</v>
      </c>
      <c r="D9" s="5">
        <v>0.758</v>
      </c>
      <c r="E9" s="5" t="s">
        <v>141</v>
      </c>
      <c r="F9" s="5">
        <v>0.09</v>
      </c>
    </row>
    <row r="10">
      <c r="A10" s="5"/>
      <c r="B10" s="5" t="s">
        <v>142</v>
      </c>
      <c r="C10" s="6">
        <v>12.48</v>
      </c>
      <c r="D10" s="5">
        <v>0.647</v>
      </c>
      <c r="E10" s="5" t="s">
        <v>141</v>
      </c>
      <c r="F10" s="5">
        <v>0.227</v>
      </c>
    </row>
    <row r="11">
      <c r="A11" s="5"/>
      <c r="B11" s="5" t="s">
        <v>143</v>
      </c>
      <c r="C11" s="6">
        <v>72.2</v>
      </c>
      <c r="D11" s="5">
        <v>0.245</v>
      </c>
      <c r="E11" s="5" t="s">
        <v>141</v>
      </c>
      <c r="F11" s="5">
        <v>0.041</v>
      </c>
    </row>
    <row r="13">
      <c r="A13" s="8" t="s">
        <v>8</v>
      </c>
      <c r="B13" s="8" t="s">
        <v>138</v>
      </c>
      <c r="C13" s="9">
        <v>7029.42</v>
      </c>
      <c r="D13" s="8">
        <v>0.0</v>
      </c>
      <c r="E13" s="41" t="s">
        <v>144</v>
      </c>
      <c r="F13" s="8" t="s">
        <v>11</v>
      </c>
    </row>
    <row r="14">
      <c r="A14" s="8"/>
      <c r="B14" s="8" t="s">
        <v>140</v>
      </c>
      <c r="C14" s="9">
        <v>7029.42</v>
      </c>
      <c r="D14" s="8">
        <v>0.0</v>
      </c>
      <c r="E14" s="41" t="s">
        <v>144</v>
      </c>
      <c r="F14" s="8">
        <v>0.23</v>
      </c>
    </row>
    <row r="15">
      <c r="A15" s="8"/>
      <c r="B15" s="8" t="s">
        <v>142</v>
      </c>
      <c r="C15" s="9">
        <v>45.57</v>
      </c>
      <c r="D15" s="8">
        <v>0.061</v>
      </c>
      <c r="E15" s="8" t="s">
        <v>145</v>
      </c>
      <c r="F15" s="8">
        <v>0.159</v>
      </c>
    </row>
    <row r="16">
      <c r="A16" s="8"/>
      <c r="B16" s="8" t="s">
        <v>146</v>
      </c>
      <c r="C16" s="9">
        <v>686.23</v>
      </c>
      <c r="D16" s="8">
        <v>0.0</v>
      </c>
      <c r="E16" s="41" t="s">
        <v>144</v>
      </c>
      <c r="F16" s="8">
        <v>0.37</v>
      </c>
    </row>
    <row r="17">
      <c r="A17" s="8"/>
      <c r="B17" s="8" t="s">
        <v>143</v>
      </c>
      <c r="C17" s="9">
        <v>56.02</v>
      </c>
      <c r="D17" s="8">
        <v>0.244</v>
      </c>
      <c r="E17" s="8" t="s">
        <v>141</v>
      </c>
      <c r="F17" s="8">
        <v>0.012</v>
      </c>
    </row>
    <row r="19">
      <c r="A19" s="11" t="s">
        <v>9</v>
      </c>
      <c r="B19" s="11" t="s">
        <v>138</v>
      </c>
      <c r="C19" s="12">
        <v>11551.5</v>
      </c>
      <c r="D19" s="11">
        <v>0.0</v>
      </c>
      <c r="E19" s="42" t="s">
        <v>144</v>
      </c>
      <c r="F19" s="11" t="s">
        <v>11</v>
      </c>
    </row>
    <row r="20">
      <c r="A20" s="11"/>
      <c r="B20" s="11" t="s">
        <v>140</v>
      </c>
      <c r="C20" s="12">
        <v>-498.03</v>
      </c>
      <c r="D20" s="11">
        <v>0.793</v>
      </c>
      <c r="E20" s="11" t="s">
        <v>141</v>
      </c>
      <c r="F20" s="11">
        <v>-0.047</v>
      </c>
    </row>
    <row r="21" ht="15.75" customHeight="1">
      <c r="A21" s="11"/>
      <c r="B21" s="11" t="s">
        <v>142</v>
      </c>
      <c r="C21" s="12">
        <v>40.98</v>
      </c>
      <c r="D21" s="11">
        <v>0.524</v>
      </c>
      <c r="E21" s="11" t="s">
        <v>141</v>
      </c>
      <c r="F21" s="11">
        <v>0.117</v>
      </c>
    </row>
    <row r="22" ht="15.75" customHeight="1">
      <c r="A22" s="11"/>
      <c r="B22" s="11" t="s">
        <v>143</v>
      </c>
      <c r="C22" s="12">
        <v>32.24</v>
      </c>
      <c r="D22" s="11">
        <v>0.372</v>
      </c>
      <c r="E22" s="11" t="s">
        <v>141</v>
      </c>
      <c r="F22" s="11">
        <v>0.02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6:H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1">
      <c r="A1" s="4" t="s">
        <v>18</v>
      </c>
      <c r="B1" s="4" t="s">
        <v>19</v>
      </c>
      <c r="C1" s="4" t="s">
        <v>1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  <c r="AB1" s="4" t="s">
        <v>44</v>
      </c>
      <c r="AC1" s="4" t="s">
        <v>3</v>
      </c>
      <c r="AD1" s="4" t="s">
        <v>4</v>
      </c>
      <c r="AE1" s="4" t="s">
        <v>5</v>
      </c>
    </row>
    <row r="2">
      <c r="A2" s="5" t="s">
        <v>45</v>
      </c>
      <c r="B2" s="5" t="s">
        <v>46</v>
      </c>
      <c r="C2" s="5" t="s">
        <v>7</v>
      </c>
      <c r="D2" s="17">
        <v>5400.0</v>
      </c>
      <c r="E2" s="18">
        <v>4.0</v>
      </c>
      <c r="F2" s="6">
        <v>21600.0</v>
      </c>
      <c r="G2" s="5">
        <v>151.0</v>
      </c>
      <c r="H2" s="5">
        <v>81.0</v>
      </c>
      <c r="I2" s="5">
        <v>42.0</v>
      </c>
      <c r="J2" s="5">
        <v>0.0</v>
      </c>
      <c r="K2" s="5">
        <v>0.0</v>
      </c>
      <c r="L2" s="6">
        <v>1036.0</v>
      </c>
      <c r="M2" s="6">
        <v>1036.0</v>
      </c>
      <c r="N2" s="6">
        <v>1250.0</v>
      </c>
      <c r="O2" s="6">
        <v>833.0</v>
      </c>
      <c r="P2" s="6">
        <v>250.0</v>
      </c>
      <c r="Q2" s="6">
        <v>0.0</v>
      </c>
      <c r="R2" s="19" t="s">
        <v>47</v>
      </c>
      <c r="S2" s="6">
        <v>0.0</v>
      </c>
      <c r="T2" s="6">
        <v>0.0</v>
      </c>
      <c r="U2" s="6">
        <v>0.0</v>
      </c>
      <c r="V2" s="43">
        <v>1093.0</v>
      </c>
      <c r="W2" s="44">
        <v>155.0</v>
      </c>
      <c r="X2" s="44">
        <v>411.0</v>
      </c>
      <c r="Y2" s="44">
        <v>622.0</v>
      </c>
      <c r="Z2" s="44">
        <v>125.0</v>
      </c>
      <c r="AA2" s="45">
        <v>1296.0</v>
      </c>
      <c r="AB2" s="45">
        <v>1080.0</v>
      </c>
      <c r="AC2" s="6">
        <v>10233.0</v>
      </c>
      <c r="AD2" s="6">
        <v>11367.0</v>
      </c>
      <c r="AE2" s="7">
        <v>0.52625</v>
      </c>
    </row>
    <row r="3">
      <c r="A3" s="5" t="s">
        <v>45</v>
      </c>
      <c r="B3" s="5" t="s">
        <v>48</v>
      </c>
      <c r="C3" s="5" t="s">
        <v>7</v>
      </c>
      <c r="D3" s="17">
        <v>10000.0</v>
      </c>
      <c r="E3" s="18">
        <v>4.0</v>
      </c>
      <c r="F3" s="6">
        <v>40000.0</v>
      </c>
      <c r="G3" s="5">
        <v>171.0</v>
      </c>
      <c r="H3" s="5">
        <v>82.0</v>
      </c>
      <c r="I3" s="5">
        <v>42.0</v>
      </c>
      <c r="J3" s="5">
        <v>0.0</v>
      </c>
      <c r="K3" s="5">
        <v>0.0</v>
      </c>
      <c r="L3" s="6">
        <v>902.0</v>
      </c>
      <c r="M3" s="6">
        <v>902.0</v>
      </c>
      <c r="N3" s="6">
        <v>1250.0</v>
      </c>
      <c r="O3" s="6">
        <v>833.0</v>
      </c>
      <c r="P3" s="6">
        <v>250.0</v>
      </c>
      <c r="Q3" s="6">
        <v>0.0</v>
      </c>
      <c r="R3" s="23" t="s">
        <v>47</v>
      </c>
      <c r="S3" s="6">
        <v>0.0</v>
      </c>
      <c r="T3" s="6">
        <v>0.0</v>
      </c>
      <c r="U3" s="6">
        <v>0.0</v>
      </c>
      <c r="V3" s="23">
        <v>952.0</v>
      </c>
      <c r="W3" s="46">
        <v>135.0</v>
      </c>
      <c r="X3" s="46">
        <v>358.0</v>
      </c>
      <c r="Y3" s="46">
        <v>541.0</v>
      </c>
      <c r="Z3" s="46">
        <v>125.0</v>
      </c>
      <c r="AA3" s="47">
        <v>2400.0</v>
      </c>
      <c r="AB3" s="47">
        <v>2000.0</v>
      </c>
      <c r="AC3" s="6">
        <v>12538.0</v>
      </c>
      <c r="AD3" s="6">
        <v>27462.0</v>
      </c>
      <c r="AE3" s="7">
        <v>0.68655</v>
      </c>
    </row>
    <row r="4">
      <c r="A4" s="5" t="s">
        <v>45</v>
      </c>
      <c r="B4" s="5" t="s">
        <v>49</v>
      </c>
      <c r="C4" s="5" t="s">
        <v>7</v>
      </c>
      <c r="D4" s="17">
        <v>10000.0</v>
      </c>
      <c r="E4" s="18">
        <v>4.0</v>
      </c>
      <c r="F4" s="6">
        <v>40000.0</v>
      </c>
      <c r="G4" s="5">
        <v>153.0</v>
      </c>
      <c r="H4" s="5">
        <v>82.0</v>
      </c>
      <c r="I4" s="5">
        <v>39.0</v>
      </c>
      <c r="J4" s="5">
        <v>0.0</v>
      </c>
      <c r="K4" s="5">
        <v>0.0</v>
      </c>
      <c r="L4" s="6">
        <v>936.0</v>
      </c>
      <c r="M4" s="6">
        <v>936.0</v>
      </c>
      <c r="N4" s="6">
        <v>1250.0</v>
      </c>
      <c r="O4" s="6">
        <v>833.0</v>
      </c>
      <c r="P4" s="6">
        <v>250.0</v>
      </c>
      <c r="Q4" s="6">
        <v>0.0</v>
      </c>
      <c r="R4" s="23" t="s">
        <v>47</v>
      </c>
      <c r="S4" s="6">
        <v>0.0</v>
      </c>
      <c r="T4" s="6">
        <v>0.0</v>
      </c>
      <c r="U4" s="6">
        <v>0.0</v>
      </c>
      <c r="V4" s="23">
        <v>987.0</v>
      </c>
      <c r="W4" s="46">
        <v>140.0</v>
      </c>
      <c r="X4" s="46">
        <v>372.0</v>
      </c>
      <c r="Y4" s="46">
        <v>562.0</v>
      </c>
      <c r="Z4" s="46">
        <v>125.0</v>
      </c>
      <c r="AA4" s="47">
        <v>2400.0</v>
      </c>
      <c r="AB4" s="47">
        <v>2000.0</v>
      </c>
      <c r="AC4" s="6">
        <v>12247.0</v>
      </c>
      <c r="AD4" s="6">
        <v>27753.0</v>
      </c>
      <c r="AE4" s="7">
        <v>0.15348484848484847</v>
      </c>
    </row>
    <row r="5">
      <c r="A5" s="5" t="s">
        <v>45</v>
      </c>
      <c r="B5" s="5" t="s">
        <v>50</v>
      </c>
      <c r="C5" s="5" t="s">
        <v>7</v>
      </c>
      <c r="D5" s="17">
        <v>8000.0</v>
      </c>
      <c r="E5" s="18">
        <v>4.0</v>
      </c>
      <c r="F5" s="6">
        <v>32000.0</v>
      </c>
      <c r="G5" s="5">
        <v>156.0</v>
      </c>
      <c r="H5" s="5">
        <v>88.0</v>
      </c>
      <c r="I5" s="5">
        <v>41.0</v>
      </c>
      <c r="J5" s="5">
        <v>0.0</v>
      </c>
      <c r="K5" s="5">
        <v>0.0</v>
      </c>
      <c r="L5" s="6">
        <v>1055.0</v>
      </c>
      <c r="M5" s="6">
        <v>1055.0</v>
      </c>
      <c r="N5" s="6">
        <v>1250.0</v>
      </c>
      <c r="O5" s="6">
        <v>833.0</v>
      </c>
      <c r="P5" s="6">
        <v>250.0</v>
      </c>
      <c r="Q5" s="6">
        <v>0.0</v>
      </c>
      <c r="R5" s="23" t="s">
        <v>47</v>
      </c>
      <c r="S5" s="6">
        <v>0.0</v>
      </c>
      <c r="T5" s="6">
        <v>0.0</v>
      </c>
      <c r="U5" s="6">
        <v>0.0</v>
      </c>
      <c r="V5" s="48">
        <v>1113.0</v>
      </c>
      <c r="W5" s="46">
        <v>158.0</v>
      </c>
      <c r="X5" s="46">
        <v>419.0</v>
      </c>
      <c r="Y5" s="46">
        <v>633.0</v>
      </c>
      <c r="Z5" s="46">
        <v>125.0</v>
      </c>
      <c r="AA5" s="47">
        <v>1920.0</v>
      </c>
      <c r="AB5" s="47">
        <v>1600.0</v>
      </c>
      <c r="AC5" s="6">
        <v>12347.0</v>
      </c>
      <c r="AD5" s="6">
        <v>19653.0</v>
      </c>
      <c r="AE5" s="7">
        <v>0.16348484848484848</v>
      </c>
    </row>
    <row r="6">
      <c r="A6" s="5" t="s">
        <v>51</v>
      </c>
      <c r="B6" s="5" t="s">
        <v>46</v>
      </c>
      <c r="C6" s="5" t="s">
        <v>7</v>
      </c>
      <c r="D6" s="17">
        <v>8000.0</v>
      </c>
      <c r="E6" s="18">
        <v>4.0</v>
      </c>
      <c r="F6" s="6">
        <v>32000.0</v>
      </c>
      <c r="G6" s="5">
        <v>166.0</v>
      </c>
      <c r="H6" s="5">
        <v>82.0</v>
      </c>
      <c r="I6" s="5">
        <v>39.0</v>
      </c>
      <c r="J6" s="5">
        <v>0.0</v>
      </c>
      <c r="K6" s="5">
        <v>0.0</v>
      </c>
      <c r="L6" s="6">
        <v>917.0</v>
      </c>
      <c r="M6" s="6">
        <v>917.0</v>
      </c>
      <c r="N6" s="6">
        <v>1250.0</v>
      </c>
      <c r="O6" s="6">
        <v>833.0</v>
      </c>
      <c r="P6" s="6">
        <v>250.0</v>
      </c>
      <c r="Q6" s="6">
        <v>0.0</v>
      </c>
      <c r="R6" s="23" t="s">
        <v>47</v>
      </c>
      <c r="S6" s="6">
        <v>0.0</v>
      </c>
      <c r="T6" s="6">
        <v>0.0</v>
      </c>
      <c r="U6" s="6">
        <v>0.0</v>
      </c>
      <c r="V6" s="23">
        <v>967.0</v>
      </c>
      <c r="W6" s="46">
        <v>138.0</v>
      </c>
      <c r="X6" s="46">
        <v>364.0</v>
      </c>
      <c r="Y6" s="46">
        <v>550.0</v>
      </c>
      <c r="Z6" s="46">
        <v>125.0</v>
      </c>
      <c r="AA6" s="47">
        <v>1920.0</v>
      </c>
      <c r="AB6" s="47">
        <v>1600.0</v>
      </c>
      <c r="AC6" s="6">
        <v>11567.0</v>
      </c>
      <c r="AD6" s="6">
        <v>20433.0</v>
      </c>
      <c r="AE6" s="7">
        <v>-0.5682828282828283</v>
      </c>
    </row>
    <row r="7">
      <c r="A7" s="5" t="s">
        <v>51</v>
      </c>
      <c r="B7" s="5" t="s">
        <v>48</v>
      </c>
      <c r="C7" s="5" t="s">
        <v>7</v>
      </c>
      <c r="D7" s="17">
        <v>4500.0</v>
      </c>
      <c r="E7" s="18">
        <v>4.0</v>
      </c>
      <c r="F7" s="6">
        <v>18000.0</v>
      </c>
      <c r="G7" s="5">
        <v>169.0</v>
      </c>
      <c r="H7" s="5">
        <v>77.0</v>
      </c>
      <c r="I7" s="5">
        <v>38.0</v>
      </c>
      <c r="J7" s="5">
        <v>0.0</v>
      </c>
      <c r="K7" s="5">
        <v>0.0</v>
      </c>
      <c r="L7" s="6">
        <v>1092.0</v>
      </c>
      <c r="M7" s="6">
        <v>1092.0</v>
      </c>
      <c r="N7" s="6">
        <v>1250.0</v>
      </c>
      <c r="O7" s="6">
        <v>833.0</v>
      </c>
      <c r="P7" s="6">
        <v>250.0</v>
      </c>
      <c r="Q7" s="6">
        <v>0.0</v>
      </c>
      <c r="R7" s="23" t="s">
        <v>47</v>
      </c>
      <c r="S7" s="6">
        <v>0.0</v>
      </c>
      <c r="T7" s="6">
        <v>0.0</v>
      </c>
      <c r="U7" s="6">
        <v>0.0</v>
      </c>
      <c r="V7" s="48">
        <v>1152.0</v>
      </c>
      <c r="W7" s="46">
        <v>164.0</v>
      </c>
      <c r="X7" s="46">
        <v>434.0</v>
      </c>
      <c r="Y7" s="46">
        <v>655.0</v>
      </c>
      <c r="Z7" s="46">
        <v>125.0</v>
      </c>
      <c r="AA7" s="47">
        <v>1080.0</v>
      </c>
      <c r="AB7" s="46">
        <v>900.0</v>
      </c>
      <c r="AC7" s="6">
        <v>10378.0</v>
      </c>
      <c r="AD7" s="6">
        <v>7622.0</v>
      </c>
      <c r="AE7" s="7">
        <v>0.15262626262626264</v>
      </c>
    </row>
    <row r="8">
      <c r="A8" s="5" t="s">
        <v>51</v>
      </c>
      <c r="B8" s="5" t="s">
        <v>49</v>
      </c>
      <c r="C8" s="5" t="s">
        <v>7</v>
      </c>
      <c r="D8" s="17">
        <v>3000.0</v>
      </c>
      <c r="E8" s="18">
        <v>4.0</v>
      </c>
      <c r="F8" s="6">
        <v>12000.0</v>
      </c>
      <c r="G8" s="5">
        <v>173.0</v>
      </c>
      <c r="H8" s="5">
        <v>82.0</v>
      </c>
      <c r="I8" s="5">
        <v>40.0</v>
      </c>
      <c r="J8" s="5">
        <v>0.0</v>
      </c>
      <c r="K8" s="5">
        <v>0.0</v>
      </c>
      <c r="L8" s="6">
        <v>1109.0</v>
      </c>
      <c r="M8" s="6">
        <v>1109.0</v>
      </c>
      <c r="N8" s="6">
        <v>1250.0</v>
      </c>
      <c r="O8" s="6">
        <v>833.0</v>
      </c>
      <c r="P8" s="6">
        <v>250.0</v>
      </c>
      <c r="Q8" s="6">
        <v>0.0</v>
      </c>
      <c r="R8" s="23" t="s">
        <v>47</v>
      </c>
      <c r="S8" s="6">
        <v>0.0</v>
      </c>
      <c r="T8" s="6">
        <v>0.0</v>
      </c>
      <c r="U8" s="6">
        <v>0.0</v>
      </c>
      <c r="V8" s="48">
        <v>1170.0</v>
      </c>
      <c r="W8" s="46">
        <v>166.0</v>
      </c>
      <c r="X8" s="46">
        <v>440.0</v>
      </c>
      <c r="Y8" s="46">
        <v>665.0</v>
      </c>
      <c r="Z8" s="46">
        <v>125.0</v>
      </c>
      <c r="AA8" s="46">
        <v>720.0</v>
      </c>
      <c r="AB8" s="46">
        <v>600.0</v>
      </c>
      <c r="AC8" s="6">
        <v>9732.0</v>
      </c>
      <c r="AD8" s="6">
        <v>2268.0</v>
      </c>
      <c r="AE8" s="7">
        <v>-0.5985858585858586</v>
      </c>
    </row>
    <row r="9">
      <c r="A9" s="5" t="s">
        <v>51</v>
      </c>
      <c r="B9" s="5" t="s">
        <v>50</v>
      </c>
      <c r="C9" s="5" t="s">
        <v>7</v>
      </c>
      <c r="D9" s="17">
        <v>4500.0</v>
      </c>
      <c r="E9" s="18">
        <v>4.0</v>
      </c>
      <c r="F9" s="6">
        <v>18000.0</v>
      </c>
      <c r="G9" s="5">
        <v>170.0</v>
      </c>
      <c r="H9" s="5">
        <v>88.0</v>
      </c>
      <c r="I9" s="5">
        <v>40.0</v>
      </c>
      <c r="J9" s="5">
        <v>0.0</v>
      </c>
      <c r="K9" s="5">
        <v>0.0</v>
      </c>
      <c r="L9" s="6">
        <v>899.0</v>
      </c>
      <c r="M9" s="6">
        <v>899.0</v>
      </c>
      <c r="N9" s="6">
        <v>1250.0</v>
      </c>
      <c r="O9" s="6">
        <v>833.0</v>
      </c>
      <c r="P9" s="6">
        <v>250.0</v>
      </c>
      <c r="Q9" s="6">
        <v>0.0</v>
      </c>
      <c r="R9" s="23" t="s">
        <v>47</v>
      </c>
      <c r="S9" s="6">
        <v>0.0</v>
      </c>
      <c r="T9" s="6">
        <v>0.0</v>
      </c>
      <c r="U9" s="6">
        <v>0.0</v>
      </c>
      <c r="V9" s="23">
        <v>948.0</v>
      </c>
      <c r="W9" s="46">
        <v>135.0</v>
      </c>
      <c r="X9" s="46">
        <v>357.0</v>
      </c>
      <c r="Y9" s="46">
        <v>539.0</v>
      </c>
      <c r="Z9" s="46">
        <v>125.0</v>
      </c>
      <c r="AA9" s="47">
        <v>1080.0</v>
      </c>
      <c r="AB9" s="46">
        <v>900.0</v>
      </c>
      <c r="AC9" s="6">
        <v>9283.0</v>
      </c>
      <c r="AD9" s="6">
        <v>8717.0</v>
      </c>
      <c r="AE9" s="7">
        <v>-0.5935353535353536</v>
      </c>
    </row>
    <row r="10">
      <c r="A10" s="5" t="s">
        <v>52</v>
      </c>
      <c r="B10" s="5" t="s">
        <v>46</v>
      </c>
      <c r="C10" s="5" t="s">
        <v>7</v>
      </c>
      <c r="D10" s="17">
        <v>4500.0</v>
      </c>
      <c r="E10" s="18">
        <v>5.0</v>
      </c>
      <c r="F10" s="6">
        <v>22500.0</v>
      </c>
      <c r="G10" s="5">
        <v>176.0</v>
      </c>
      <c r="H10" s="5">
        <v>91.0</v>
      </c>
      <c r="I10" s="5">
        <v>45.0</v>
      </c>
      <c r="J10" s="5">
        <v>0.0</v>
      </c>
      <c r="K10" s="5">
        <v>0.0</v>
      </c>
      <c r="L10" s="6">
        <v>882.0</v>
      </c>
      <c r="M10" s="6">
        <v>882.0</v>
      </c>
      <c r="N10" s="6">
        <v>1250.0</v>
      </c>
      <c r="O10" s="6">
        <v>833.0</v>
      </c>
      <c r="P10" s="6">
        <v>250.0</v>
      </c>
      <c r="Q10" s="6">
        <v>0.0</v>
      </c>
      <c r="R10" s="23" t="s">
        <v>47</v>
      </c>
      <c r="S10" s="6">
        <v>0.0</v>
      </c>
      <c r="T10" s="6">
        <v>0.0</v>
      </c>
      <c r="U10" s="6">
        <v>0.0</v>
      </c>
      <c r="V10" s="23">
        <v>930.0</v>
      </c>
      <c r="W10" s="46">
        <v>132.0</v>
      </c>
      <c r="X10" s="46">
        <v>350.0</v>
      </c>
      <c r="Y10" s="46">
        <v>661.0</v>
      </c>
      <c r="Z10" s="46">
        <v>125.0</v>
      </c>
      <c r="AA10" s="47">
        <v>1350.0</v>
      </c>
      <c r="AB10" s="47">
        <v>1125.0</v>
      </c>
      <c r="AC10" s="6">
        <v>10089.0</v>
      </c>
      <c r="AD10" s="6">
        <v>12411.0</v>
      </c>
      <c r="AE10" s="7">
        <v>0.17116161616161615</v>
      </c>
    </row>
    <row r="11">
      <c r="A11" s="5" t="s">
        <v>52</v>
      </c>
      <c r="B11" s="5" t="s">
        <v>48</v>
      </c>
      <c r="C11" s="5" t="s">
        <v>7</v>
      </c>
      <c r="D11" s="17">
        <v>4500.0</v>
      </c>
      <c r="E11" s="18">
        <v>4.0</v>
      </c>
      <c r="F11" s="6">
        <v>18000.0</v>
      </c>
      <c r="G11" s="5">
        <v>146.0</v>
      </c>
      <c r="H11" s="5">
        <v>82.0</v>
      </c>
      <c r="I11" s="5">
        <v>41.0</v>
      </c>
      <c r="J11" s="5">
        <v>0.0</v>
      </c>
      <c r="K11" s="5">
        <v>0.0</v>
      </c>
      <c r="L11" s="6">
        <v>979.0</v>
      </c>
      <c r="M11" s="6">
        <v>979.0</v>
      </c>
      <c r="N11" s="6">
        <v>1250.0</v>
      </c>
      <c r="O11" s="6">
        <v>833.0</v>
      </c>
      <c r="P11" s="6">
        <v>250.0</v>
      </c>
      <c r="Q11" s="6">
        <v>0.0</v>
      </c>
      <c r="R11" s="23" t="s">
        <v>47</v>
      </c>
      <c r="S11" s="6">
        <v>0.0</v>
      </c>
      <c r="T11" s="6">
        <v>0.0</v>
      </c>
      <c r="U11" s="6">
        <v>0.0</v>
      </c>
      <c r="V11" s="48">
        <v>1032.0</v>
      </c>
      <c r="W11" s="46">
        <v>147.0</v>
      </c>
      <c r="X11" s="46">
        <v>389.0</v>
      </c>
      <c r="Y11" s="46">
        <v>587.0</v>
      </c>
      <c r="Z11" s="46">
        <v>125.0</v>
      </c>
      <c r="AA11" s="47">
        <v>1080.0</v>
      </c>
      <c r="AB11" s="46">
        <v>900.0</v>
      </c>
      <c r="AC11" s="6">
        <v>9619.0</v>
      </c>
      <c r="AD11" s="6">
        <v>8381.0</v>
      </c>
      <c r="AE11" s="7">
        <v>-0.6276767676767677</v>
      </c>
    </row>
    <row r="12">
      <c r="A12" s="5" t="s">
        <v>52</v>
      </c>
      <c r="B12" s="5" t="s">
        <v>49</v>
      </c>
      <c r="C12" s="5" t="s">
        <v>7</v>
      </c>
      <c r="D12" s="17">
        <v>5400.0</v>
      </c>
      <c r="E12" s="18">
        <v>5.0</v>
      </c>
      <c r="F12" s="6">
        <v>27000.0</v>
      </c>
      <c r="G12" s="5">
        <v>176.0</v>
      </c>
      <c r="H12" s="5">
        <v>92.0</v>
      </c>
      <c r="I12" s="5">
        <v>53.0</v>
      </c>
      <c r="J12" s="5">
        <v>0.0</v>
      </c>
      <c r="K12" s="5">
        <v>0.0</v>
      </c>
      <c r="L12" s="6">
        <v>1037.0</v>
      </c>
      <c r="M12" s="6">
        <v>1037.0</v>
      </c>
      <c r="N12" s="6">
        <v>1250.0</v>
      </c>
      <c r="O12" s="6">
        <v>833.0</v>
      </c>
      <c r="P12" s="6">
        <v>250.0</v>
      </c>
      <c r="Q12" s="6">
        <v>0.0</v>
      </c>
      <c r="R12" s="23" t="s">
        <v>47</v>
      </c>
      <c r="S12" s="6">
        <v>0.0</v>
      </c>
      <c r="T12" s="6">
        <v>0.0</v>
      </c>
      <c r="U12" s="6">
        <v>0.0</v>
      </c>
      <c r="V12" s="48">
        <v>1094.0</v>
      </c>
      <c r="W12" s="46">
        <v>155.0</v>
      </c>
      <c r="X12" s="46">
        <v>411.0</v>
      </c>
      <c r="Y12" s="46">
        <v>777.0</v>
      </c>
      <c r="Z12" s="46">
        <v>125.0</v>
      </c>
      <c r="AA12" s="47">
        <v>1620.0</v>
      </c>
      <c r="AB12" s="47">
        <v>1350.0</v>
      </c>
      <c r="AC12" s="6">
        <v>11343.0</v>
      </c>
      <c r="AD12" s="6">
        <v>15657.0</v>
      </c>
      <c r="AE12" s="7">
        <v>-0.49484848484848487</v>
      </c>
    </row>
    <row r="13">
      <c r="A13" s="5" t="s">
        <v>52</v>
      </c>
      <c r="B13" s="5" t="s">
        <v>50</v>
      </c>
      <c r="C13" s="5" t="s">
        <v>7</v>
      </c>
      <c r="D13" s="17">
        <v>3000.0</v>
      </c>
      <c r="E13" s="18">
        <v>4.0</v>
      </c>
      <c r="F13" s="6">
        <v>12000.0</v>
      </c>
      <c r="G13" s="5">
        <v>169.0</v>
      </c>
      <c r="H13" s="5">
        <v>77.0</v>
      </c>
      <c r="I13" s="5">
        <v>42.0</v>
      </c>
      <c r="J13" s="5">
        <v>0.0</v>
      </c>
      <c r="K13" s="5">
        <v>0.0</v>
      </c>
      <c r="L13" s="6">
        <v>974.0</v>
      </c>
      <c r="M13" s="6">
        <v>974.0</v>
      </c>
      <c r="N13" s="6">
        <v>1250.0</v>
      </c>
      <c r="O13" s="6">
        <v>833.0</v>
      </c>
      <c r="P13" s="6">
        <v>250.0</v>
      </c>
      <c r="Q13" s="6">
        <v>0.0</v>
      </c>
      <c r="R13" s="23" t="s">
        <v>47</v>
      </c>
      <c r="S13" s="6">
        <v>0.0</v>
      </c>
      <c r="T13" s="6">
        <v>0.0</v>
      </c>
      <c r="U13" s="6">
        <v>0.0</v>
      </c>
      <c r="V13" s="48">
        <v>1027.0</v>
      </c>
      <c r="W13" s="46">
        <v>146.0</v>
      </c>
      <c r="X13" s="46">
        <v>387.0</v>
      </c>
      <c r="Y13" s="46">
        <v>584.0</v>
      </c>
      <c r="Z13" s="46">
        <v>125.0</v>
      </c>
      <c r="AA13" s="46">
        <v>720.0</v>
      </c>
      <c r="AB13" s="46">
        <v>600.0</v>
      </c>
      <c r="AC13" s="6">
        <v>9911.0</v>
      </c>
      <c r="AD13" s="6">
        <v>2089.0</v>
      </c>
      <c r="AE13" s="7">
        <v>-0.574040404040404</v>
      </c>
    </row>
    <row r="14">
      <c r="A14" s="5" t="s">
        <v>53</v>
      </c>
      <c r="B14" s="5" t="s">
        <v>46</v>
      </c>
      <c r="C14" s="5" t="s">
        <v>7</v>
      </c>
      <c r="D14" s="17">
        <v>5400.0</v>
      </c>
      <c r="E14" s="18">
        <v>4.0</v>
      </c>
      <c r="F14" s="6">
        <v>21600.0</v>
      </c>
      <c r="G14" s="5">
        <v>163.0</v>
      </c>
      <c r="H14" s="5">
        <v>73.0</v>
      </c>
      <c r="I14" s="5">
        <v>37.0</v>
      </c>
      <c r="J14" s="5">
        <v>0.0</v>
      </c>
      <c r="K14" s="5">
        <v>0.0</v>
      </c>
      <c r="L14" s="6">
        <v>1106.0</v>
      </c>
      <c r="M14" s="6">
        <v>1106.0</v>
      </c>
      <c r="N14" s="6">
        <v>1250.0</v>
      </c>
      <c r="O14" s="6">
        <v>833.0</v>
      </c>
      <c r="P14" s="6">
        <v>250.0</v>
      </c>
      <c r="Q14" s="6">
        <v>0.0</v>
      </c>
      <c r="R14" s="23" t="s">
        <v>47</v>
      </c>
      <c r="S14" s="6">
        <v>0.0</v>
      </c>
      <c r="T14" s="6">
        <v>0.0</v>
      </c>
      <c r="U14" s="6">
        <v>0.0</v>
      </c>
      <c r="V14" s="48">
        <v>1167.0</v>
      </c>
      <c r="W14" s="46">
        <v>166.0</v>
      </c>
      <c r="X14" s="46">
        <v>439.0</v>
      </c>
      <c r="Y14" s="46">
        <v>664.0</v>
      </c>
      <c r="Z14" s="46">
        <v>125.0</v>
      </c>
      <c r="AA14" s="47">
        <v>1296.0</v>
      </c>
      <c r="AB14" s="47">
        <v>1080.0</v>
      </c>
      <c r="AC14" s="6">
        <v>11679.0</v>
      </c>
      <c r="AD14" s="6">
        <v>9921.0</v>
      </c>
      <c r="AE14" s="7">
        <v>-0.6246464646464647</v>
      </c>
    </row>
    <row r="15">
      <c r="A15" s="5" t="s">
        <v>53</v>
      </c>
      <c r="B15" s="5" t="s">
        <v>48</v>
      </c>
      <c r="C15" s="5" t="s">
        <v>7</v>
      </c>
      <c r="D15" s="17">
        <v>5400.0</v>
      </c>
      <c r="E15" s="18">
        <v>4.0</v>
      </c>
      <c r="F15" s="6">
        <v>21600.0</v>
      </c>
      <c r="G15" s="5">
        <v>159.0</v>
      </c>
      <c r="H15" s="5">
        <v>87.0</v>
      </c>
      <c r="I15" s="5">
        <v>43.0</v>
      </c>
      <c r="J15" s="5">
        <v>0.0</v>
      </c>
      <c r="K15" s="5">
        <v>0.0</v>
      </c>
      <c r="L15" s="6">
        <v>911.0</v>
      </c>
      <c r="M15" s="6">
        <v>911.0</v>
      </c>
      <c r="N15" s="6">
        <v>1250.0</v>
      </c>
      <c r="O15" s="6">
        <v>833.0</v>
      </c>
      <c r="P15" s="6">
        <v>250.0</v>
      </c>
      <c r="Q15" s="6">
        <v>0.0</v>
      </c>
      <c r="R15" s="23" t="s">
        <v>47</v>
      </c>
      <c r="S15" s="6">
        <v>0.0</v>
      </c>
      <c r="T15" s="6">
        <v>0.0</v>
      </c>
      <c r="U15" s="6">
        <v>0.0</v>
      </c>
      <c r="V15" s="23">
        <v>962.0</v>
      </c>
      <c r="W15" s="46">
        <v>137.0</v>
      </c>
      <c r="X15" s="46">
        <v>362.0</v>
      </c>
      <c r="Y15" s="46">
        <v>547.0</v>
      </c>
      <c r="Z15" s="46">
        <v>125.0</v>
      </c>
      <c r="AA15" s="47">
        <v>1296.0</v>
      </c>
      <c r="AB15" s="47">
        <v>1080.0</v>
      </c>
      <c r="AC15" s="6">
        <v>9588.0</v>
      </c>
      <c r="AD15" s="6">
        <v>12012.0</v>
      </c>
      <c r="AE15" s="7">
        <v>0.556111111111111</v>
      </c>
    </row>
    <row r="16">
      <c r="A16" s="5" t="s">
        <v>53</v>
      </c>
      <c r="B16" s="5" t="s">
        <v>49</v>
      </c>
      <c r="C16" s="5" t="s">
        <v>7</v>
      </c>
      <c r="D16" s="17">
        <v>10000.0</v>
      </c>
      <c r="E16" s="18">
        <v>4.0</v>
      </c>
      <c r="F16" s="6">
        <v>40000.0</v>
      </c>
      <c r="G16" s="5">
        <v>152.0</v>
      </c>
      <c r="H16" s="5">
        <v>77.0</v>
      </c>
      <c r="I16" s="5">
        <v>40.0</v>
      </c>
      <c r="J16" s="5">
        <v>0.0</v>
      </c>
      <c r="K16" s="5">
        <v>0.0</v>
      </c>
      <c r="L16" s="6">
        <v>964.0</v>
      </c>
      <c r="M16" s="6">
        <v>964.0</v>
      </c>
      <c r="N16" s="6">
        <v>1250.0</v>
      </c>
      <c r="O16" s="6">
        <v>833.0</v>
      </c>
      <c r="P16" s="6">
        <v>250.0</v>
      </c>
      <c r="Q16" s="6">
        <v>0.0</v>
      </c>
      <c r="R16" s="23" t="s">
        <v>47</v>
      </c>
      <c r="S16" s="6">
        <v>0.0</v>
      </c>
      <c r="T16" s="6">
        <v>0.0</v>
      </c>
      <c r="U16" s="6">
        <v>0.0</v>
      </c>
      <c r="V16" s="48">
        <v>1017.0</v>
      </c>
      <c r="W16" s="46">
        <v>145.0</v>
      </c>
      <c r="X16" s="46">
        <v>383.0</v>
      </c>
      <c r="Y16" s="46">
        <v>578.0</v>
      </c>
      <c r="Z16" s="46">
        <v>125.0</v>
      </c>
      <c r="AA16" s="47">
        <v>2400.0</v>
      </c>
      <c r="AB16" s="47">
        <v>2000.0</v>
      </c>
      <c r="AC16" s="6">
        <v>12658.0</v>
      </c>
      <c r="AD16" s="6">
        <v>27342.0</v>
      </c>
      <c r="AE16" s="7">
        <v>0.68355</v>
      </c>
    </row>
    <row r="17">
      <c r="A17" s="5" t="s">
        <v>53</v>
      </c>
      <c r="B17" s="5" t="s">
        <v>50</v>
      </c>
      <c r="C17" s="5" t="s">
        <v>7</v>
      </c>
      <c r="D17" s="17">
        <v>10000.0</v>
      </c>
      <c r="E17" s="18">
        <v>4.0</v>
      </c>
      <c r="F17" s="6">
        <v>40000.0</v>
      </c>
      <c r="G17" s="5">
        <v>172.0</v>
      </c>
      <c r="H17" s="5">
        <v>76.0</v>
      </c>
      <c r="I17" s="5">
        <v>43.0</v>
      </c>
      <c r="J17" s="5">
        <v>0.0</v>
      </c>
      <c r="K17" s="5">
        <v>0.0</v>
      </c>
      <c r="L17" s="6">
        <v>1104.0</v>
      </c>
      <c r="M17" s="6">
        <v>1104.0</v>
      </c>
      <c r="N17" s="6">
        <v>1250.0</v>
      </c>
      <c r="O17" s="6">
        <v>833.0</v>
      </c>
      <c r="P17" s="6">
        <v>250.0</v>
      </c>
      <c r="Q17" s="6">
        <v>0.0</v>
      </c>
      <c r="R17" s="23" t="s">
        <v>47</v>
      </c>
      <c r="S17" s="6">
        <v>0.0</v>
      </c>
      <c r="T17" s="6">
        <v>0.0</v>
      </c>
      <c r="U17" s="6">
        <v>0.0</v>
      </c>
      <c r="V17" s="48">
        <v>1164.0</v>
      </c>
      <c r="W17" s="46">
        <v>166.0</v>
      </c>
      <c r="X17" s="46">
        <v>438.0</v>
      </c>
      <c r="Y17" s="46">
        <v>662.0</v>
      </c>
      <c r="Z17" s="46">
        <v>125.0</v>
      </c>
      <c r="AA17" s="47">
        <v>2400.0</v>
      </c>
      <c r="AB17" s="47">
        <v>2000.0</v>
      </c>
      <c r="AC17" s="6">
        <v>13829.0</v>
      </c>
      <c r="AD17" s="6">
        <v>26171.0</v>
      </c>
      <c r="AE17" s="7">
        <v>0.654275</v>
      </c>
    </row>
    <row r="18">
      <c r="A18" s="5" t="s">
        <v>54</v>
      </c>
      <c r="B18" s="5" t="s">
        <v>46</v>
      </c>
      <c r="C18" s="5" t="s">
        <v>7</v>
      </c>
      <c r="D18" s="17">
        <v>3000.0</v>
      </c>
      <c r="E18" s="18">
        <v>4.0</v>
      </c>
      <c r="F18" s="6">
        <v>12000.0</v>
      </c>
      <c r="G18" s="5">
        <v>166.0</v>
      </c>
      <c r="H18" s="5">
        <v>74.0</v>
      </c>
      <c r="I18" s="5">
        <v>36.0</v>
      </c>
      <c r="J18" s="5">
        <v>0.0</v>
      </c>
      <c r="K18" s="5">
        <v>0.0</v>
      </c>
      <c r="L18" s="6">
        <v>907.0</v>
      </c>
      <c r="M18" s="6">
        <v>907.0</v>
      </c>
      <c r="N18" s="6">
        <v>1250.0</v>
      </c>
      <c r="O18" s="6">
        <v>833.0</v>
      </c>
      <c r="P18" s="6">
        <v>250.0</v>
      </c>
      <c r="Q18" s="6">
        <v>0.0</v>
      </c>
      <c r="R18" s="23" t="s">
        <v>47</v>
      </c>
      <c r="S18" s="6">
        <v>0.0</v>
      </c>
      <c r="T18" s="6">
        <v>0.0</v>
      </c>
      <c r="U18" s="6">
        <v>0.0</v>
      </c>
      <c r="V18" s="23">
        <v>957.0</v>
      </c>
      <c r="W18" s="46">
        <v>136.0</v>
      </c>
      <c r="X18" s="46">
        <v>360.0</v>
      </c>
      <c r="Y18" s="46">
        <v>544.0</v>
      </c>
      <c r="Z18" s="46">
        <v>125.0</v>
      </c>
      <c r="AA18" s="46">
        <v>720.0</v>
      </c>
      <c r="AB18" s="46">
        <v>600.0</v>
      </c>
      <c r="AC18" s="6">
        <v>8998.0</v>
      </c>
      <c r="AD18" s="6">
        <v>3002.0</v>
      </c>
      <c r="AE18" s="7">
        <v>0.250166666666667</v>
      </c>
    </row>
    <row r="19">
      <c r="A19" s="5" t="s">
        <v>54</v>
      </c>
      <c r="B19" s="5" t="s">
        <v>48</v>
      </c>
      <c r="C19" s="5" t="s">
        <v>7</v>
      </c>
      <c r="D19" s="17">
        <v>8000.0</v>
      </c>
      <c r="E19" s="18">
        <v>4.0</v>
      </c>
      <c r="F19" s="6">
        <v>32000.0</v>
      </c>
      <c r="G19" s="5">
        <v>166.0</v>
      </c>
      <c r="H19" s="5">
        <v>83.0</v>
      </c>
      <c r="I19" s="5">
        <v>39.0</v>
      </c>
      <c r="J19" s="5">
        <v>0.0</v>
      </c>
      <c r="K19" s="5">
        <v>0.0</v>
      </c>
      <c r="L19" s="6">
        <v>890.0</v>
      </c>
      <c r="M19" s="6">
        <v>890.0</v>
      </c>
      <c r="N19" s="6">
        <v>1250.0</v>
      </c>
      <c r="O19" s="6">
        <v>833.0</v>
      </c>
      <c r="P19" s="6">
        <v>250.0</v>
      </c>
      <c r="Q19" s="6">
        <v>0.0</v>
      </c>
      <c r="R19" s="23" t="s">
        <v>47</v>
      </c>
      <c r="S19" s="6">
        <v>0.0</v>
      </c>
      <c r="T19" s="6">
        <v>0.0</v>
      </c>
      <c r="U19" s="6">
        <v>0.0</v>
      </c>
      <c r="V19" s="23">
        <v>939.0</v>
      </c>
      <c r="W19" s="46">
        <v>133.0</v>
      </c>
      <c r="X19" s="46">
        <v>353.0</v>
      </c>
      <c r="Y19" s="46">
        <v>534.0</v>
      </c>
      <c r="Z19" s="46">
        <v>125.0</v>
      </c>
      <c r="AA19" s="47">
        <v>1920.0</v>
      </c>
      <c r="AB19" s="47">
        <v>1600.0</v>
      </c>
      <c r="AC19" s="6">
        <v>11354.0</v>
      </c>
      <c r="AD19" s="6">
        <v>20646.0</v>
      </c>
      <c r="AE19" s="7">
        <v>0.6451875</v>
      </c>
    </row>
    <row r="20">
      <c r="A20" s="5" t="s">
        <v>54</v>
      </c>
      <c r="B20" s="5" t="s">
        <v>49</v>
      </c>
      <c r="C20" s="5" t="s">
        <v>7</v>
      </c>
      <c r="D20" s="17">
        <v>8000.0</v>
      </c>
      <c r="E20" s="18">
        <v>4.0</v>
      </c>
      <c r="F20" s="6">
        <v>32000.0</v>
      </c>
      <c r="G20" s="5">
        <v>157.0</v>
      </c>
      <c r="H20" s="5">
        <v>75.0</v>
      </c>
      <c r="I20" s="5">
        <v>43.0</v>
      </c>
      <c r="J20" s="5">
        <v>0.0</v>
      </c>
      <c r="K20" s="5">
        <v>0.0</v>
      </c>
      <c r="L20" s="6">
        <v>1072.0</v>
      </c>
      <c r="M20" s="6">
        <v>1072.0</v>
      </c>
      <c r="N20" s="6">
        <v>1250.0</v>
      </c>
      <c r="O20" s="6">
        <v>833.0</v>
      </c>
      <c r="P20" s="6">
        <v>250.0</v>
      </c>
      <c r="Q20" s="6">
        <v>0.0</v>
      </c>
      <c r="R20" s="23" t="s">
        <v>47</v>
      </c>
      <c r="S20" s="6">
        <v>0.0</v>
      </c>
      <c r="T20" s="6">
        <v>0.0</v>
      </c>
      <c r="U20" s="6">
        <v>0.0</v>
      </c>
      <c r="V20" s="48">
        <v>1131.0</v>
      </c>
      <c r="W20" s="46">
        <v>161.0</v>
      </c>
      <c r="X20" s="46">
        <v>426.0</v>
      </c>
      <c r="Y20" s="46">
        <v>643.0</v>
      </c>
      <c r="Z20" s="46">
        <v>125.0</v>
      </c>
      <c r="AA20" s="47">
        <v>1920.0</v>
      </c>
      <c r="AB20" s="47">
        <v>1600.0</v>
      </c>
      <c r="AC20" s="6">
        <v>12813.0</v>
      </c>
      <c r="AD20" s="6">
        <v>19187.0</v>
      </c>
      <c r="AE20" s="7">
        <v>0.59959375</v>
      </c>
    </row>
    <row r="21" ht="15.75" customHeight="1">
      <c r="A21" s="5" t="s">
        <v>54</v>
      </c>
      <c r="B21" s="5" t="s">
        <v>50</v>
      </c>
      <c r="C21" s="5" t="s">
        <v>7</v>
      </c>
      <c r="D21" s="17">
        <v>10000.0</v>
      </c>
      <c r="E21" s="18">
        <v>4.0</v>
      </c>
      <c r="F21" s="6">
        <v>40000.0</v>
      </c>
      <c r="G21" s="5">
        <v>159.0</v>
      </c>
      <c r="H21" s="5">
        <v>75.0</v>
      </c>
      <c r="I21" s="5">
        <v>43.0</v>
      </c>
      <c r="J21" s="5">
        <v>0.0</v>
      </c>
      <c r="K21" s="5">
        <v>0.0</v>
      </c>
      <c r="L21" s="6">
        <v>972.0</v>
      </c>
      <c r="M21" s="6">
        <v>972.0</v>
      </c>
      <c r="N21" s="6">
        <v>1250.0</v>
      </c>
      <c r="O21" s="6">
        <v>833.0</v>
      </c>
      <c r="P21" s="6">
        <v>250.0</v>
      </c>
      <c r="Q21" s="6">
        <v>0.0</v>
      </c>
      <c r="R21" s="23" t="s">
        <v>47</v>
      </c>
      <c r="S21" s="6">
        <v>0.0</v>
      </c>
      <c r="T21" s="6">
        <v>0.0</v>
      </c>
      <c r="U21" s="6">
        <v>0.0</v>
      </c>
      <c r="V21" s="48">
        <v>1025.0</v>
      </c>
      <c r="W21" s="46">
        <v>146.0</v>
      </c>
      <c r="X21" s="46">
        <v>386.0</v>
      </c>
      <c r="Y21" s="46">
        <v>583.0</v>
      </c>
      <c r="Z21" s="46">
        <v>125.0</v>
      </c>
      <c r="AA21" s="47">
        <v>2400.0</v>
      </c>
      <c r="AB21" s="47">
        <v>2000.0</v>
      </c>
      <c r="AC21" s="6">
        <v>12424.0</v>
      </c>
      <c r="AD21" s="6">
        <v>27576.0</v>
      </c>
      <c r="AE21" s="7">
        <v>0.6894</v>
      </c>
    </row>
    <row r="22" ht="15.75" customHeight="1">
      <c r="A22" s="5" t="s">
        <v>55</v>
      </c>
      <c r="B22" s="5" t="s">
        <v>46</v>
      </c>
      <c r="C22" s="5" t="s">
        <v>7</v>
      </c>
      <c r="D22" s="17">
        <v>3000.0</v>
      </c>
      <c r="E22" s="18">
        <v>4.0</v>
      </c>
      <c r="F22" s="6">
        <v>12000.0</v>
      </c>
      <c r="G22" s="5">
        <v>148.0</v>
      </c>
      <c r="H22" s="5">
        <v>86.0</v>
      </c>
      <c r="I22" s="5">
        <v>38.0</v>
      </c>
      <c r="J22" s="5">
        <v>0.0</v>
      </c>
      <c r="K22" s="5">
        <v>0.0</v>
      </c>
      <c r="L22" s="6">
        <v>985.0</v>
      </c>
      <c r="M22" s="6">
        <v>985.0</v>
      </c>
      <c r="N22" s="6">
        <v>1250.0</v>
      </c>
      <c r="O22" s="6">
        <v>833.0</v>
      </c>
      <c r="P22" s="6">
        <v>250.0</v>
      </c>
      <c r="Q22" s="6">
        <v>0.0</v>
      </c>
      <c r="R22" s="23" t="s">
        <v>47</v>
      </c>
      <c r="S22" s="6">
        <v>0.0</v>
      </c>
      <c r="T22" s="6">
        <v>0.0</v>
      </c>
      <c r="U22" s="6">
        <v>0.0</v>
      </c>
      <c r="V22" s="48">
        <v>1039.0</v>
      </c>
      <c r="W22" s="46">
        <v>148.0</v>
      </c>
      <c r="X22" s="46">
        <v>391.0</v>
      </c>
      <c r="Y22" s="46">
        <v>591.0</v>
      </c>
      <c r="Z22" s="46">
        <v>125.0</v>
      </c>
      <c r="AA22" s="46">
        <v>720.0</v>
      </c>
      <c r="AB22" s="46">
        <v>600.0</v>
      </c>
      <c r="AC22" s="6">
        <v>8967.0</v>
      </c>
      <c r="AD22" s="6">
        <v>3033.0</v>
      </c>
      <c r="AE22" s="7">
        <v>0.25275</v>
      </c>
    </row>
    <row r="23" ht="15.75" customHeight="1">
      <c r="A23" s="5" t="s">
        <v>55</v>
      </c>
      <c r="B23" s="5" t="s">
        <v>48</v>
      </c>
      <c r="C23" s="5" t="s">
        <v>7</v>
      </c>
      <c r="D23" s="17">
        <v>5400.0</v>
      </c>
      <c r="E23" s="18">
        <v>4.0</v>
      </c>
      <c r="F23" s="6">
        <v>21600.0</v>
      </c>
      <c r="G23" s="5">
        <v>165.0</v>
      </c>
      <c r="H23" s="5">
        <v>77.0</v>
      </c>
      <c r="I23" s="5">
        <v>42.0</v>
      </c>
      <c r="J23" s="5">
        <v>0.0</v>
      </c>
      <c r="K23" s="5">
        <v>0.0</v>
      </c>
      <c r="L23" s="6">
        <v>1096.0</v>
      </c>
      <c r="M23" s="6">
        <v>1096.0</v>
      </c>
      <c r="N23" s="6">
        <v>1250.0</v>
      </c>
      <c r="O23" s="6">
        <v>833.0</v>
      </c>
      <c r="P23" s="6">
        <v>250.0</v>
      </c>
      <c r="Q23" s="6">
        <v>0.0</v>
      </c>
      <c r="R23" s="23" t="s">
        <v>47</v>
      </c>
      <c r="S23" s="6">
        <v>0.0</v>
      </c>
      <c r="T23" s="6">
        <v>0.0</v>
      </c>
      <c r="U23" s="6">
        <v>0.0</v>
      </c>
      <c r="V23" s="48">
        <v>1156.0</v>
      </c>
      <c r="W23" s="46">
        <v>164.0</v>
      </c>
      <c r="X23" s="46">
        <v>435.0</v>
      </c>
      <c r="Y23" s="46">
        <v>658.0</v>
      </c>
      <c r="Z23" s="46">
        <v>125.0</v>
      </c>
      <c r="AA23" s="47">
        <v>1296.0</v>
      </c>
      <c r="AB23" s="47">
        <v>1080.0</v>
      </c>
      <c r="AC23" s="6">
        <v>11446.0</v>
      </c>
      <c r="AD23" s="6">
        <v>10154.0</v>
      </c>
      <c r="AE23" s="7">
        <v>-0.5682828282828283</v>
      </c>
    </row>
    <row r="24" ht="15.75" customHeight="1">
      <c r="A24" s="5" t="s">
        <v>55</v>
      </c>
      <c r="B24" s="5" t="s">
        <v>49</v>
      </c>
      <c r="C24" s="5" t="s">
        <v>7</v>
      </c>
      <c r="D24" s="17">
        <v>4500.0</v>
      </c>
      <c r="E24" s="18">
        <v>4.0</v>
      </c>
      <c r="F24" s="6">
        <v>18000.0</v>
      </c>
      <c r="G24" s="5">
        <v>154.0</v>
      </c>
      <c r="H24" s="5">
        <v>75.0</v>
      </c>
      <c r="I24" s="5">
        <v>42.0</v>
      </c>
      <c r="J24" s="5">
        <v>0.0</v>
      </c>
      <c r="K24" s="5">
        <v>0.0</v>
      </c>
      <c r="L24" s="6">
        <v>977.0</v>
      </c>
      <c r="M24" s="6">
        <v>977.0</v>
      </c>
      <c r="N24" s="6">
        <v>1250.0</v>
      </c>
      <c r="O24" s="6">
        <v>833.0</v>
      </c>
      <c r="P24" s="6">
        <v>250.0</v>
      </c>
      <c r="Q24" s="6">
        <v>0.0</v>
      </c>
      <c r="R24" s="23" t="s">
        <v>47</v>
      </c>
      <c r="S24" s="6">
        <v>0.0</v>
      </c>
      <c r="T24" s="6">
        <v>0.0</v>
      </c>
      <c r="U24" s="6">
        <v>0.0</v>
      </c>
      <c r="V24" s="48">
        <v>1031.0</v>
      </c>
      <c r="W24" s="46">
        <v>147.0</v>
      </c>
      <c r="X24" s="46">
        <v>388.0</v>
      </c>
      <c r="Y24" s="46">
        <v>586.0</v>
      </c>
      <c r="Z24" s="46">
        <v>125.0</v>
      </c>
      <c r="AA24" s="47">
        <v>1080.0</v>
      </c>
      <c r="AB24" s="46">
        <v>900.0</v>
      </c>
      <c r="AC24" s="6">
        <v>10411.0</v>
      </c>
      <c r="AD24" s="6">
        <v>7589.0</v>
      </c>
      <c r="AE24" s="7">
        <v>0.15262626262626264</v>
      </c>
    </row>
    <row r="25" ht="15.75" customHeight="1">
      <c r="A25" s="5" t="s">
        <v>55</v>
      </c>
      <c r="B25" s="5" t="s">
        <v>50</v>
      </c>
      <c r="C25" s="5" t="s">
        <v>7</v>
      </c>
      <c r="D25" s="17">
        <v>8000.0</v>
      </c>
      <c r="E25" s="18">
        <v>4.0</v>
      </c>
      <c r="F25" s="6">
        <v>32000.0</v>
      </c>
      <c r="G25" s="5">
        <v>170.0</v>
      </c>
      <c r="H25" s="5">
        <v>74.0</v>
      </c>
      <c r="I25" s="5">
        <v>36.0</v>
      </c>
      <c r="J25" s="5">
        <v>0.0</v>
      </c>
      <c r="K25" s="5">
        <v>0.0</v>
      </c>
      <c r="L25" s="6">
        <v>936.0</v>
      </c>
      <c r="M25" s="6">
        <v>936.0</v>
      </c>
      <c r="N25" s="6">
        <v>1250.0</v>
      </c>
      <c r="O25" s="6">
        <v>833.0</v>
      </c>
      <c r="P25" s="6">
        <v>250.0</v>
      </c>
      <c r="Q25" s="6">
        <v>0.0</v>
      </c>
      <c r="R25" s="23" t="s">
        <v>47</v>
      </c>
      <c r="S25" s="6">
        <v>0.0</v>
      </c>
      <c r="T25" s="6">
        <v>0.0</v>
      </c>
      <c r="U25" s="6">
        <v>0.0</v>
      </c>
      <c r="V25" s="23">
        <v>988.0</v>
      </c>
      <c r="W25" s="46">
        <v>140.0</v>
      </c>
      <c r="X25" s="46">
        <v>372.0</v>
      </c>
      <c r="Y25" s="46">
        <v>562.0</v>
      </c>
      <c r="Z25" s="46">
        <v>125.0</v>
      </c>
      <c r="AA25" s="47">
        <v>1920.0</v>
      </c>
      <c r="AB25" s="47">
        <v>1600.0</v>
      </c>
      <c r="AC25" s="6">
        <v>12230.0</v>
      </c>
      <c r="AD25" s="6">
        <v>19770.0</v>
      </c>
      <c r="AE25" s="7">
        <v>-0.5985858585858586</v>
      </c>
    </row>
    <row r="26" ht="15.75" customHeight="1">
      <c r="A26" s="5" t="s">
        <v>56</v>
      </c>
      <c r="B26" s="5" t="s">
        <v>46</v>
      </c>
      <c r="C26" s="5" t="s">
        <v>7</v>
      </c>
      <c r="D26" s="17">
        <v>4500.0</v>
      </c>
      <c r="E26" s="18">
        <v>5.0</v>
      </c>
      <c r="F26" s="6">
        <v>22500.0</v>
      </c>
      <c r="G26" s="30">
        <v>70.0</v>
      </c>
      <c r="H26" s="5">
        <v>108.0</v>
      </c>
      <c r="I26" s="5">
        <v>49.0</v>
      </c>
      <c r="J26" s="5">
        <v>0.0</v>
      </c>
      <c r="K26" s="5">
        <v>0.0</v>
      </c>
      <c r="L26" s="6">
        <v>1076.0</v>
      </c>
      <c r="M26" s="6">
        <v>1076.0</v>
      </c>
      <c r="N26" s="6">
        <v>1250.0</v>
      </c>
      <c r="O26" s="6">
        <v>833.0</v>
      </c>
      <c r="P26" s="6">
        <v>250.0</v>
      </c>
      <c r="Q26" s="6">
        <v>0.0</v>
      </c>
      <c r="R26" s="23" t="s">
        <v>47</v>
      </c>
      <c r="S26" s="6">
        <v>0.0</v>
      </c>
      <c r="T26" s="6">
        <v>0.0</v>
      </c>
      <c r="U26" s="6">
        <v>0.0</v>
      </c>
      <c r="V26" s="48">
        <v>1135.0</v>
      </c>
      <c r="W26" s="46">
        <v>161.0</v>
      </c>
      <c r="X26" s="46">
        <v>427.0</v>
      </c>
      <c r="Y26" s="46">
        <v>807.0</v>
      </c>
      <c r="Z26" s="46">
        <v>125.0</v>
      </c>
      <c r="AA26" s="47">
        <v>1350.0</v>
      </c>
      <c r="AB26" s="47">
        <v>1125.0</v>
      </c>
      <c r="AC26" s="6">
        <v>10947.0</v>
      </c>
      <c r="AD26" s="6">
        <v>11553.0</v>
      </c>
      <c r="AE26" s="7">
        <v>-0.5927272727272728</v>
      </c>
    </row>
    <row r="27" ht="15.75" customHeight="1">
      <c r="A27" s="5" t="s">
        <v>56</v>
      </c>
      <c r="B27" s="5" t="s">
        <v>48</v>
      </c>
      <c r="C27" s="5" t="s">
        <v>7</v>
      </c>
      <c r="D27" s="17">
        <v>8000.0</v>
      </c>
      <c r="E27" s="18">
        <v>4.0</v>
      </c>
      <c r="F27" s="6">
        <v>32000.0</v>
      </c>
      <c r="G27" s="31">
        <v>96.0</v>
      </c>
      <c r="H27" s="5">
        <v>74.0</v>
      </c>
      <c r="I27" s="5">
        <v>38.0</v>
      </c>
      <c r="J27" s="5">
        <v>0.0</v>
      </c>
      <c r="K27" s="5">
        <v>0.0</v>
      </c>
      <c r="L27" s="6">
        <v>899.0</v>
      </c>
      <c r="M27" s="6">
        <v>899.0</v>
      </c>
      <c r="N27" s="6">
        <v>1250.0</v>
      </c>
      <c r="O27" s="6">
        <v>833.0</v>
      </c>
      <c r="P27" s="6">
        <v>250.0</v>
      </c>
      <c r="Q27" s="6">
        <v>0.0</v>
      </c>
      <c r="R27" s="23" t="s">
        <v>47</v>
      </c>
      <c r="S27" s="6">
        <v>0.0</v>
      </c>
      <c r="T27" s="6">
        <v>0.0</v>
      </c>
      <c r="U27" s="6">
        <v>0.0</v>
      </c>
      <c r="V27" s="23">
        <v>949.0</v>
      </c>
      <c r="W27" s="46">
        <v>135.0</v>
      </c>
      <c r="X27" s="46">
        <v>357.0</v>
      </c>
      <c r="Y27" s="46">
        <v>540.0</v>
      </c>
      <c r="Z27" s="46">
        <v>125.0</v>
      </c>
      <c r="AA27" s="47">
        <v>1920.0</v>
      </c>
      <c r="AB27" s="47">
        <v>1600.0</v>
      </c>
      <c r="AC27" s="6">
        <v>11216.0</v>
      </c>
      <c r="AD27" s="6">
        <v>20784.0</v>
      </c>
      <c r="AE27" s="7">
        <v>-0.6213131313131313</v>
      </c>
    </row>
    <row r="28" ht="15.75" customHeight="1">
      <c r="A28" s="5" t="s">
        <v>56</v>
      </c>
      <c r="B28" s="5" t="s">
        <v>49</v>
      </c>
      <c r="C28" s="5" t="s">
        <v>7</v>
      </c>
      <c r="D28" s="17">
        <v>10000.0</v>
      </c>
      <c r="E28" s="18">
        <v>4.0</v>
      </c>
      <c r="F28" s="6">
        <v>40000.0</v>
      </c>
      <c r="G28" s="31">
        <v>96.0</v>
      </c>
      <c r="H28" s="5">
        <v>81.0</v>
      </c>
      <c r="I28" s="5">
        <v>40.0</v>
      </c>
      <c r="J28" s="5">
        <v>0.0</v>
      </c>
      <c r="K28" s="5">
        <v>0.0</v>
      </c>
      <c r="L28" s="6">
        <v>1107.0</v>
      </c>
      <c r="M28" s="6">
        <v>1107.0</v>
      </c>
      <c r="N28" s="6">
        <v>1250.0</v>
      </c>
      <c r="O28" s="6">
        <v>833.0</v>
      </c>
      <c r="P28" s="6">
        <v>250.0</v>
      </c>
      <c r="Q28" s="6">
        <v>0.0</v>
      </c>
      <c r="R28" s="23" t="s">
        <v>47</v>
      </c>
      <c r="S28" s="6">
        <v>0.0</v>
      </c>
      <c r="T28" s="6">
        <v>0.0</v>
      </c>
      <c r="U28" s="6">
        <v>0.0</v>
      </c>
      <c r="V28" s="48">
        <v>1168.0</v>
      </c>
      <c r="W28" s="46">
        <v>166.0</v>
      </c>
      <c r="X28" s="46">
        <v>440.0</v>
      </c>
      <c r="Y28" s="46">
        <v>664.0</v>
      </c>
      <c r="Z28" s="46">
        <v>125.0</v>
      </c>
      <c r="AA28" s="47">
        <v>2400.0</v>
      </c>
      <c r="AB28" s="47">
        <v>2000.0</v>
      </c>
      <c r="AC28" s="6">
        <v>14183.0</v>
      </c>
      <c r="AD28" s="6">
        <v>25817.0</v>
      </c>
      <c r="AE28" s="7">
        <v>-0.5482828282828283</v>
      </c>
    </row>
    <row r="29" ht="15.75" customHeight="1">
      <c r="A29" s="5" t="s">
        <v>56</v>
      </c>
      <c r="B29" s="5" t="s">
        <v>50</v>
      </c>
      <c r="C29" s="5" t="s">
        <v>7</v>
      </c>
      <c r="D29" s="17">
        <v>4500.0</v>
      </c>
      <c r="E29" s="18">
        <v>4.0</v>
      </c>
      <c r="F29" s="6">
        <v>18000.0</v>
      </c>
      <c r="G29" s="31">
        <v>91.0</v>
      </c>
      <c r="H29" s="5">
        <v>87.0</v>
      </c>
      <c r="I29" s="5">
        <v>44.0</v>
      </c>
      <c r="J29" s="5">
        <v>0.0</v>
      </c>
      <c r="K29" s="5">
        <v>0.0</v>
      </c>
      <c r="L29" s="6">
        <v>1072.0</v>
      </c>
      <c r="M29" s="6">
        <v>1072.0</v>
      </c>
      <c r="N29" s="6">
        <v>1250.0</v>
      </c>
      <c r="O29" s="6">
        <v>833.0</v>
      </c>
      <c r="P29" s="6">
        <v>250.0</v>
      </c>
      <c r="Q29" s="6">
        <v>0.0</v>
      </c>
      <c r="R29" s="23" t="s">
        <v>47</v>
      </c>
      <c r="S29" s="6">
        <v>0.0</v>
      </c>
      <c r="T29" s="6">
        <v>0.0</v>
      </c>
      <c r="U29" s="6">
        <v>0.0</v>
      </c>
      <c r="V29" s="48">
        <v>1130.0</v>
      </c>
      <c r="W29" s="46">
        <v>161.0</v>
      </c>
      <c r="X29" s="46">
        <v>425.0</v>
      </c>
      <c r="Y29" s="46">
        <v>643.0</v>
      </c>
      <c r="Z29" s="46">
        <v>125.0</v>
      </c>
      <c r="AA29" s="47">
        <v>1080.0</v>
      </c>
      <c r="AB29" s="46">
        <v>900.0</v>
      </c>
      <c r="AC29" s="6">
        <v>10871.0</v>
      </c>
      <c r="AD29" s="6">
        <v>7129.0</v>
      </c>
      <c r="AE29" s="7">
        <v>-0.5824242424242424</v>
      </c>
    </row>
    <row r="30" ht="15.75" customHeight="1">
      <c r="A30" s="5" t="s">
        <v>57</v>
      </c>
      <c r="B30" s="5" t="s">
        <v>46</v>
      </c>
      <c r="C30" s="5" t="s">
        <v>7</v>
      </c>
      <c r="D30" s="17">
        <v>8000.0</v>
      </c>
      <c r="E30" s="18">
        <v>5.0</v>
      </c>
      <c r="F30" s="6">
        <v>40000.0</v>
      </c>
      <c r="G30" s="31">
        <v>90.0</v>
      </c>
      <c r="H30" s="5">
        <v>92.0</v>
      </c>
      <c r="I30" s="5">
        <v>54.0</v>
      </c>
      <c r="J30" s="5">
        <v>0.0</v>
      </c>
      <c r="K30" s="5">
        <v>0.0</v>
      </c>
      <c r="L30" s="6">
        <v>1029.0</v>
      </c>
      <c r="M30" s="6">
        <v>1029.0</v>
      </c>
      <c r="N30" s="6">
        <v>1250.0</v>
      </c>
      <c r="O30" s="6">
        <v>833.0</v>
      </c>
      <c r="P30" s="6">
        <v>250.0</v>
      </c>
      <c r="Q30" s="6">
        <v>0.0</v>
      </c>
      <c r="R30" s="23" t="s">
        <v>47</v>
      </c>
      <c r="S30" s="6">
        <v>0.0</v>
      </c>
      <c r="T30" s="6">
        <v>0.0</v>
      </c>
      <c r="U30" s="6">
        <v>0.0</v>
      </c>
      <c r="V30" s="48">
        <v>1086.0</v>
      </c>
      <c r="W30" s="46">
        <v>154.0</v>
      </c>
      <c r="X30" s="46">
        <v>409.0</v>
      </c>
      <c r="Y30" s="46">
        <v>772.0</v>
      </c>
      <c r="Z30" s="46">
        <v>125.0</v>
      </c>
      <c r="AA30" s="47">
        <v>2400.0</v>
      </c>
      <c r="AB30" s="47">
        <v>2000.0</v>
      </c>
      <c r="AC30" s="6">
        <v>13084.0</v>
      </c>
      <c r="AD30" s="6">
        <v>26916.0</v>
      </c>
      <c r="AE30" s="7">
        <v>-0.6246464646464647</v>
      </c>
    </row>
    <row r="31" ht="15.75" customHeight="1">
      <c r="A31" s="5" t="s">
        <v>57</v>
      </c>
      <c r="B31" s="5" t="s">
        <v>48</v>
      </c>
      <c r="C31" s="5" t="s">
        <v>7</v>
      </c>
      <c r="D31" s="17">
        <v>8000.0</v>
      </c>
      <c r="E31" s="18">
        <v>4.0</v>
      </c>
      <c r="F31" s="6">
        <v>32000.0</v>
      </c>
      <c r="G31" s="31">
        <v>92.0</v>
      </c>
      <c r="H31" s="5">
        <v>85.0</v>
      </c>
      <c r="I31" s="5">
        <v>38.0</v>
      </c>
      <c r="J31" s="5">
        <v>0.0</v>
      </c>
      <c r="K31" s="5">
        <v>0.0</v>
      </c>
      <c r="L31" s="6">
        <v>1106.0</v>
      </c>
      <c r="M31" s="6">
        <v>1106.0</v>
      </c>
      <c r="N31" s="6">
        <v>1250.0</v>
      </c>
      <c r="O31" s="6">
        <v>833.0</v>
      </c>
      <c r="P31" s="6">
        <v>250.0</v>
      </c>
      <c r="Q31" s="6">
        <v>0.0</v>
      </c>
      <c r="R31" s="23" t="s">
        <v>47</v>
      </c>
      <c r="S31" s="6">
        <v>0.0</v>
      </c>
      <c r="T31" s="6">
        <v>0.0</v>
      </c>
      <c r="U31" s="6">
        <v>0.0</v>
      </c>
      <c r="V31" s="48">
        <v>1167.0</v>
      </c>
      <c r="W31" s="46">
        <v>166.0</v>
      </c>
      <c r="X31" s="46">
        <v>439.0</v>
      </c>
      <c r="Y31" s="46">
        <v>664.0</v>
      </c>
      <c r="Z31" s="46">
        <v>125.0</v>
      </c>
      <c r="AA31" s="47">
        <v>1920.0</v>
      </c>
      <c r="AB31" s="47">
        <v>1600.0</v>
      </c>
      <c r="AC31" s="6">
        <v>12889.0</v>
      </c>
      <c r="AD31" s="6">
        <v>19111.0</v>
      </c>
      <c r="AE31" s="7">
        <v>-0.5953535353535353</v>
      </c>
    </row>
    <row r="32" ht="15.75" customHeight="1">
      <c r="A32" s="5" t="s">
        <v>57</v>
      </c>
      <c r="B32" s="5" t="s">
        <v>49</v>
      </c>
      <c r="C32" s="5" t="s">
        <v>7</v>
      </c>
      <c r="D32" s="17">
        <v>8000.0</v>
      </c>
      <c r="E32" s="18">
        <v>4.0</v>
      </c>
      <c r="F32" s="6">
        <v>32000.0</v>
      </c>
      <c r="G32" s="31">
        <v>87.0</v>
      </c>
      <c r="H32" s="5">
        <v>79.0</v>
      </c>
      <c r="I32" s="5">
        <v>37.0</v>
      </c>
      <c r="J32" s="5">
        <v>0.0</v>
      </c>
      <c r="K32" s="5">
        <v>0.0</v>
      </c>
      <c r="L32" s="6">
        <v>984.0</v>
      </c>
      <c r="M32" s="6">
        <v>984.0</v>
      </c>
      <c r="N32" s="6">
        <v>1250.0</v>
      </c>
      <c r="O32" s="6">
        <v>833.0</v>
      </c>
      <c r="P32" s="6">
        <v>250.0</v>
      </c>
      <c r="Q32" s="6">
        <v>0.0</v>
      </c>
      <c r="R32" s="23" t="s">
        <v>47</v>
      </c>
      <c r="S32" s="6">
        <v>0.0</v>
      </c>
      <c r="T32" s="6">
        <v>0.0</v>
      </c>
      <c r="U32" s="6">
        <v>0.0</v>
      </c>
      <c r="V32" s="48">
        <v>1038.0</v>
      </c>
      <c r="W32" s="46">
        <v>148.0</v>
      </c>
      <c r="X32" s="46">
        <v>391.0</v>
      </c>
      <c r="Y32" s="46">
        <v>590.0</v>
      </c>
      <c r="Z32" s="46">
        <v>125.0</v>
      </c>
      <c r="AA32" s="47">
        <v>1920.0</v>
      </c>
      <c r="AB32" s="47">
        <v>1600.0</v>
      </c>
      <c r="AC32" s="6">
        <v>11357.0</v>
      </c>
      <c r="AD32" s="6">
        <v>20643.0</v>
      </c>
      <c r="AE32" s="7">
        <v>0.17116161616161615</v>
      </c>
    </row>
    <row r="33" ht="15.75" customHeight="1">
      <c r="A33" s="5" t="s">
        <v>57</v>
      </c>
      <c r="B33" s="5" t="s">
        <v>50</v>
      </c>
      <c r="C33" s="5" t="s">
        <v>7</v>
      </c>
      <c r="D33" s="17">
        <v>5400.0</v>
      </c>
      <c r="E33" s="18">
        <v>5.0</v>
      </c>
      <c r="F33" s="6">
        <v>27000.0</v>
      </c>
      <c r="G33" s="31">
        <v>106.0</v>
      </c>
      <c r="H33" s="5">
        <v>95.0</v>
      </c>
      <c r="I33" s="5">
        <v>54.0</v>
      </c>
      <c r="J33" s="5">
        <v>0.0</v>
      </c>
      <c r="K33" s="5">
        <v>0.0</v>
      </c>
      <c r="L33" s="6">
        <v>1078.0</v>
      </c>
      <c r="M33" s="6">
        <v>1078.0</v>
      </c>
      <c r="N33" s="6">
        <v>1250.0</v>
      </c>
      <c r="O33" s="6">
        <v>833.0</v>
      </c>
      <c r="P33" s="6">
        <v>250.0</v>
      </c>
      <c r="Q33" s="6">
        <v>0.0</v>
      </c>
      <c r="R33" s="23" t="s">
        <v>47</v>
      </c>
      <c r="S33" s="6">
        <v>0.0</v>
      </c>
      <c r="T33" s="6">
        <v>0.0</v>
      </c>
      <c r="U33" s="6">
        <v>0.0</v>
      </c>
      <c r="V33" s="48">
        <v>1137.0</v>
      </c>
      <c r="W33" s="46">
        <v>162.0</v>
      </c>
      <c r="X33" s="46">
        <v>428.0</v>
      </c>
      <c r="Y33" s="46">
        <v>809.0</v>
      </c>
      <c r="Z33" s="46">
        <v>125.0</v>
      </c>
      <c r="AA33" s="47">
        <v>1620.0</v>
      </c>
      <c r="AB33" s="47">
        <v>1350.0</v>
      </c>
      <c r="AC33" s="6">
        <v>11649.0</v>
      </c>
      <c r="AD33" s="6">
        <v>15351.0</v>
      </c>
      <c r="AE33" s="7">
        <v>-0.6213131313131313</v>
      </c>
    </row>
    <row r="34" ht="15.75" customHeight="1">
      <c r="A34" s="5" t="s">
        <v>58</v>
      </c>
      <c r="B34" s="5" t="s">
        <v>46</v>
      </c>
      <c r="C34" s="5" t="s">
        <v>7</v>
      </c>
      <c r="D34" s="17">
        <v>4500.0</v>
      </c>
      <c r="E34" s="18">
        <v>4.0</v>
      </c>
      <c r="F34" s="6">
        <v>18000.0</v>
      </c>
      <c r="G34" s="31">
        <v>81.0</v>
      </c>
      <c r="H34" s="5">
        <v>72.0</v>
      </c>
      <c r="I34" s="5">
        <v>38.0</v>
      </c>
      <c r="J34" s="5">
        <v>0.0</v>
      </c>
      <c r="K34" s="5">
        <v>0.0</v>
      </c>
      <c r="L34" s="6">
        <v>994.0</v>
      </c>
      <c r="M34" s="6">
        <v>994.0</v>
      </c>
      <c r="N34" s="6">
        <v>1250.0</v>
      </c>
      <c r="O34" s="6">
        <v>833.0</v>
      </c>
      <c r="P34" s="6">
        <v>250.0</v>
      </c>
      <c r="Q34" s="6">
        <v>0.0</v>
      </c>
      <c r="R34" s="23" t="s">
        <v>47</v>
      </c>
      <c r="S34" s="6">
        <v>0.0</v>
      </c>
      <c r="T34" s="6">
        <v>0.0</v>
      </c>
      <c r="U34" s="6">
        <v>0.0</v>
      </c>
      <c r="V34" s="48">
        <v>1049.0</v>
      </c>
      <c r="W34" s="46">
        <v>149.0</v>
      </c>
      <c r="X34" s="46">
        <v>395.0</v>
      </c>
      <c r="Y34" s="46">
        <v>597.0</v>
      </c>
      <c r="Z34" s="46">
        <v>125.0</v>
      </c>
      <c r="AA34" s="47">
        <v>1080.0</v>
      </c>
      <c r="AB34" s="46">
        <v>900.0</v>
      </c>
      <c r="AC34" s="6">
        <v>10213.0</v>
      </c>
      <c r="AD34" s="6">
        <v>7787.0</v>
      </c>
      <c r="AE34" s="7">
        <v>-0.5482828282828283</v>
      </c>
    </row>
    <row r="35" ht="15.75" customHeight="1">
      <c r="A35" s="5" t="s">
        <v>58</v>
      </c>
      <c r="B35" s="5" t="s">
        <v>48</v>
      </c>
      <c r="C35" s="5" t="s">
        <v>7</v>
      </c>
      <c r="D35" s="17">
        <v>3000.0</v>
      </c>
      <c r="E35" s="18">
        <v>4.0</v>
      </c>
      <c r="F35" s="6">
        <v>12000.0</v>
      </c>
      <c r="G35" s="31">
        <v>72.0</v>
      </c>
      <c r="H35" s="5">
        <v>75.0</v>
      </c>
      <c r="I35" s="5">
        <v>42.0</v>
      </c>
      <c r="J35" s="5">
        <v>0.0</v>
      </c>
      <c r="K35" s="5">
        <v>0.0</v>
      </c>
      <c r="L35" s="6">
        <v>1058.0</v>
      </c>
      <c r="M35" s="6">
        <v>1058.0</v>
      </c>
      <c r="N35" s="6">
        <v>1250.0</v>
      </c>
      <c r="O35" s="6">
        <v>833.0</v>
      </c>
      <c r="P35" s="6">
        <v>250.0</v>
      </c>
      <c r="Q35" s="6">
        <v>0.0</v>
      </c>
      <c r="R35" s="23" t="s">
        <v>47</v>
      </c>
      <c r="S35" s="6">
        <v>0.0</v>
      </c>
      <c r="T35" s="6">
        <v>0.0</v>
      </c>
      <c r="U35" s="6">
        <v>0.0</v>
      </c>
      <c r="V35" s="48">
        <v>1116.0</v>
      </c>
      <c r="W35" s="46">
        <v>159.0</v>
      </c>
      <c r="X35" s="46">
        <v>420.0</v>
      </c>
      <c r="Y35" s="46">
        <v>635.0</v>
      </c>
      <c r="Z35" s="46">
        <v>125.0</v>
      </c>
      <c r="AA35" s="46">
        <v>720.0</v>
      </c>
      <c r="AB35" s="46">
        <v>600.0</v>
      </c>
      <c r="AC35" s="6">
        <v>9721.0</v>
      </c>
      <c r="AD35" s="6">
        <v>2279.0</v>
      </c>
      <c r="AE35" s="7">
        <v>-0.5824242424242424</v>
      </c>
    </row>
    <row r="36" ht="15.75" customHeight="1">
      <c r="A36" s="5" t="s">
        <v>58</v>
      </c>
      <c r="B36" s="5" t="s">
        <v>49</v>
      </c>
      <c r="C36" s="5" t="s">
        <v>7</v>
      </c>
      <c r="D36" s="17">
        <v>5400.0</v>
      </c>
      <c r="E36" s="18">
        <v>4.0</v>
      </c>
      <c r="F36" s="6">
        <v>21600.0</v>
      </c>
      <c r="G36" s="31">
        <v>91.0</v>
      </c>
      <c r="H36" s="5">
        <v>74.0</v>
      </c>
      <c r="I36" s="5">
        <v>36.0</v>
      </c>
      <c r="J36" s="5">
        <v>0.0</v>
      </c>
      <c r="K36" s="5">
        <v>0.0</v>
      </c>
      <c r="L36" s="6">
        <v>1107.0</v>
      </c>
      <c r="M36" s="6">
        <v>1107.0</v>
      </c>
      <c r="N36" s="6">
        <v>1250.0</v>
      </c>
      <c r="O36" s="6">
        <v>833.0</v>
      </c>
      <c r="P36" s="6">
        <v>250.0</v>
      </c>
      <c r="Q36" s="6">
        <v>0.0</v>
      </c>
      <c r="R36" s="23" t="s">
        <v>47</v>
      </c>
      <c r="S36" s="6">
        <v>0.0</v>
      </c>
      <c r="T36" s="6">
        <v>0.0</v>
      </c>
      <c r="U36" s="6">
        <v>0.0</v>
      </c>
      <c r="V36" s="48">
        <v>1167.0</v>
      </c>
      <c r="W36" s="46">
        <v>166.0</v>
      </c>
      <c r="X36" s="46">
        <v>439.0</v>
      </c>
      <c r="Y36" s="46">
        <v>664.0</v>
      </c>
      <c r="Z36" s="46">
        <v>125.0</v>
      </c>
      <c r="AA36" s="47">
        <v>1296.0</v>
      </c>
      <c r="AB36" s="47">
        <v>1080.0</v>
      </c>
      <c r="AC36" s="6">
        <v>11063.0</v>
      </c>
      <c r="AD36" s="6">
        <v>10537.0</v>
      </c>
      <c r="AE36" s="7">
        <v>-0.6246464646464647</v>
      </c>
    </row>
    <row r="37" ht="15.75" customHeight="1">
      <c r="A37" s="5" t="s">
        <v>58</v>
      </c>
      <c r="B37" s="5" t="s">
        <v>50</v>
      </c>
      <c r="C37" s="5" t="s">
        <v>7</v>
      </c>
      <c r="D37" s="17">
        <v>5400.0</v>
      </c>
      <c r="E37" s="18">
        <v>5.0</v>
      </c>
      <c r="F37" s="6">
        <v>27000.0</v>
      </c>
      <c r="G37" s="31">
        <v>92.0</v>
      </c>
      <c r="H37" s="5">
        <v>104.0</v>
      </c>
      <c r="I37" s="5">
        <v>47.0</v>
      </c>
      <c r="J37" s="5">
        <v>0.0</v>
      </c>
      <c r="K37" s="5">
        <v>0.0</v>
      </c>
      <c r="L37" s="6">
        <v>896.0</v>
      </c>
      <c r="M37" s="6">
        <v>896.0</v>
      </c>
      <c r="N37" s="6">
        <v>1250.0</v>
      </c>
      <c r="O37" s="6">
        <v>833.0</v>
      </c>
      <c r="P37" s="6">
        <v>250.0</v>
      </c>
      <c r="Q37" s="6">
        <v>0.0</v>
      </c>
      <c r="R37" s="23" t="s">
        <v>47</v>
      </c>
      <c r="S37" s="6">
        <v>0.0</v>
      </c>
      <c r="T37" s="6">
        <v>0.0</v>
      </c>
      <c r="U37" s="6">
        <v>0.0</v>
      </c>
      <c r="V37" s="23">
        <v>945.0</v>
      </c>
      <c r="W37" s="46">
        <v>134.0</v>
      </c>
      <c r="X37" s="46">
        <v>356.0</v>
      </c>
      <c r="Y37" s="46">
        <v>672.0</v>
      </c>
      <c r="Z37" s="46">
        <v>125.0</v>
      </c>
      <c r="AA37" s="47">
        <v>1620.0</v>
      </c>
      <c r="AB37" s="47">
        <v>1350.0</v>
      </c>
      <c r="AC37" s="6">
        <v>11312.0</v>
      </c>
      <c r="AD37" s="6">
        <v>15688.0</v>
      </c>
      <c r="AE37" s="7">
        <v>0.581037037037037</v>
      </c>
    </row>
    <row r="38" ht="15.75" customHeight="1">
      <c r="A38" s="5" t="s">
        <v>59</v>
      </c>
      <c r="B38" s="5" t="s">
        <v>46</v>
      </c>
      <c r="C38" s="5" t="s">
        <v>7</v>
      </c>
      <c r="D38" s="17">
        <v>8000.0</v>
      </c>
      <c r="E38" s="18">
        <v>5.0</v>
      </c>
      <c r="F38" s="6">
        <v>40000.0</v>
      </c>
      <c r="G38" s="31">
        <v>93.0</v>
      </c>
      <c r="H38" s="5">
        <v>107.0</v>
      </c>
      <c r="I38" s="5">
        <v>46.0</v>
      </c>
      <c r="J38" s="5">
        <v>0.0</v>
      </c>
      <c r="K38" s="5">
        <v>0.0</v>
      </c>
      <c r="L38" s="6">
        <v>888.0</v>
      </c>
      <c r="M38" s="6">
        <v>888.0</v>
      </c>
      <c r="N38" s="6">
        <v>1250.0</v>
      </c>
      <c r="O38" s="6">
        <v>833.0</v>
      </c>
      <c r="P38" s="6">
        <v>250.0</v>
      </c>
      <c r="Q38" s="6">
        <v>0.0</v>
      </c>
      <c r="R38" s="23" t="s">
        <v>47</v>
      </c>
      <c r="S38" s="6">
        <v>0.0</v>
      </c>
      <c r="T38" s="6">
        <v>0.0</v>
      </c>
      <c r="U38" s="6">
        <v>0.0</v>
      </c>
      <c r="V38" s="23">
        <v>937.0</v>
      </c>
      <c r="W38" s="46">
        <v>133.0</v>
      </c>
      <c r="X38" s="46">
        <v>352.0</v>
      </c>
      <c r="Y38" s="46">
        <v>666.0</v>
      </c>
      <c r="Z38" s="46">
        <v>125.0</v>
      </c>
      <c r="AA38" s="47">
        <v>2400.0</v>
      </c>
      <c r="AB38" s="47">
        <v>2000.0</v>
      </c>
      <c r="AC38" s="6">
        <v>11921.0</v>
      </c>
      <c r="AD38" s="6">
        <v>28079.0</v>
      </c>
      <c r="AE38" s="7">
        <v>0.13297979797979798</v>
      </c>
    </row>
    <row r="39" ht="15.75" customHeight="1">
      <c r="A39" s="5" t="s">
        <v>59</v>
      </c>
      <c r="B39" s="5" t="s">
        <v>48</v>
      </c>
      <c r="C39" s="5" t="s">
        <v>7</v>
      </c>
      <c r="D39" s="17">
        <v>10000.0</v>
      </c>
      <c r="E39" s="18">
        <v>5.0</v>
      </c>
      <c r="F39" s="6">
        <v>50000.0</v>
      </c>
      <c r="G39" s="31">
        <v>80.0</v>
      </c>
      <c r="H39" s="5">
        <v>93.0</v>
      </c>
      <c r="I39" s="5">
        <v>46.0</v>
      </c>
      <c r="J39" s="5">
        <v>0.0</v>
      </c>
      <c r="K39" s="5">
        <v>0.0</v>
      </c>
      <c r="L39" s="6">
        <v>934.0</v>
      </c>
      <c r="M39" s="6">
        <v>934.0</v>
      </c>
      <c r="N39" s="6">
        <v>1250.0</v>
      </c>
      <c r="O39" s="6">
        <v>833.0</v>
      </c>
      <c r="P39" s="6">
        <v>250.0</v>
      </c>
      <c r="Q39" s="6">
        <v>0.0</v>
      </c>
      <c r="R39" s="23" t="s">
        <v>47</v>
      </c>
      <c r="S39" s="6">
        <v>0.0</v>
      </c>
      <c r="T39" s="6">
        <v>0.0</v>
      </c>
      <c r="U39" s="6">
        <v>0.0</v>
      </c>
      <c r="V39" s="23">
        <v>985.0</v>
      </c>
      <c r="W39" s="46">
        <v>140.0</v>
      </c>
      <c r="X39" s="46">
        <v>371.0</v>
      </c>
      <c r="Y39" s="46">
        <v>700.0</v>
      </c>
      <c r="Z39" s="46">
        <v>125.0</v>
      </c>
      <c r="AA39" s="47">
        <v>3000.0</v>
      </c>
      <c r="AB39" s="47">
        <v>2500.0</v>
      </c>
      <c r="AC39" s="6">
        <v>14066.0</v>
      </c>
      <c r="AD39" s="6">
        <v>35934.0</v>
      </c>
      <c r="AE39" s="7">
        <v>-0.6276767676767677</v>
      </c>
    </row>
    <row r="40" ht="15.75" customHeight="1">
      <c r="A40" s="5" t="s">
        <v>59</v>
      </c>
      <c r="B40" s="5" t="s">
        <v>49</v>
      </c>
      <c r="C40" s="5" t="s">
        <v>7</v>
      </c>
      <c r="D40" s="17">
        <v>10000.0</v>
      </c>
      <c r="E40" s="18">
        <v>4.0</v>
      </c>
      <c r="F40" s="6">
        <v>40000.0</v>
      </c>
      <c r="G40" s="31">
        <v>98.0</v>
      </c>
      <c r="H40" s="5">
        <v>83.0</v>
      </c>
      <c r="I40" s="5">
        <v>43.0</v>
      </c>
      <c r="J40" s="5">
        <v>0.0</v>
      </c>
      <c r="K40" s="5">
        <v>0.0</v>
      </c>
      <c r="L40" s="6">
        <v>1025.0</v>
      </c>
      <c r="M40" s="6">
        <v>1025.0</v>
      </c>
      <c r="N40" s="6">
        <v>1250.0</v>
      </c>
      <c r="O40" s="6">
        <v>833.0</v>
      </c>
      <c r="P40" s="6">
        <v>250.0</v>
      </c>
      <c r="Q40" s="6">
        <v>0.0</v>
      </c>
      <c r="R40" s="23" t="s">
        <v>47</v>
      </c>
      <c r="S40" s="6">
        <v>0.0</v>
      </c>
      <c r="T40" s="6">
        <v>0.0</v>
      </c>
      <c r="U40" s="6">
        <v>0.0</v>
      </c>
      <c r="V40" s="48">
        <v>1081.0</v>
      </c>
      <c r="W40" s="46">
        <v>154.0</v>
      </c>
      <c r="X40" s="46">
        <v>407.0</v>
      </c>
      <c r="Y40" s="46">
        <v>615.0</v>
      </c>
      <c r="Z40" s="46">
        <v>125.0</v>
      </c>
      <c r="AA40" s="47">
        <v>2400.0</v>
      </c>
      <c r="AB40" s="47">
        <v>2000.0</v>
      </c>
      <c r="AC40" s="6">
        <v>13092.0</v>
      </c>
      <c r="AD40" s="6">
        <v>26908.0</v>
      </c>
      <c r="AE40" s="7">
        <v>-0.49484848484848487</v>
      </c>
    </row>
    <row r="41" ht="15.75" customHeight="1">
      <c r="A41" s="5" t="s">
        <v>59</v>
      </c>
      <c r="B41" s="5" t="s">
        <v>50</v>
      </c>
      <c r="C41" s="5" t="s">
        <v>7</v>
      </c>
      <c r="D41" s="17">
        <v>8000.0</v>
      </c>
      <c r="E41" s="18">
        <v>4.0</v>
      </c>
      <c r="F41" s="6">
        <v>32000.0</v>
      </c>
      <c r="G41" s="31">
        <v>82.0</v>
      </c>
      <c r="H41" s="5">
        <v>88.0</v>
      </c>
      <c r="I41" s="5">
        <v>39.0</v>
      </c>
      <c r="J41" s="5">
        <v>0.0</v>
      </c>
      <c r="K41" s="5">
        <v>0.0</v>
      </c>
      <c r="L41" s="6">
        <v>1005.0</v>
      </c>
      <c r="M41" s="6">
        <v>1005.0</v>
      </c>
      <c r="N41" s="6">
        <v>1250.0</v>
      </c>
      <c r="O41" s="6">
        <v>833.0</v>
      </c>
      <c r="P41" s="6">
        <v>250.0</v>
      </c>
      <c r="Q41" s="6">
        <v>0.0</v>
      </c>
      <c r="R41" s="23" t="s">
        <v>47</v>
      </c>
      <c r="S41" s="6">
        <v>0.0</v>
      </c>
      <c r="T41" s="6">
        <v>0.0</v>
      </c>
      <c r="U41" s="6">
        <v>0.0</v>
      </c>
      <c r="V41" s="48">
        <v>1060.0</v>
      </c>
      <c r="W41" s="46">
        <v>151.0</v>
      </c>
      <c r="X41" s="46">
        <v>399.0</v>
      </c>
      <c r="Y41" s="46">
        <v>603.0</v>
      </c>
      <c r="Z41" s="46">
        <v>125.0</v>
      </c>
      <c r="AA41" s="47">
        <v>1920.0</v>
      </c>
      <c r="AB41" s="47">
        <v>1600.0</v>
      </c>
      <c r="AC41" s="6">
        <v>12432.0</v>
      </c>
      <c r="AD41" s="6">
        <v>19568.0</v>
      </c>
      <c r="AE41" s="7">
        <v>-0.574040404040404</v>
      </c>
    </row>
    <row r="42" ht="15.75" customHeight="1">
      <c r="A42" s="5" t="s">
        <v>60</v>
      </c>
      <c r="B42" s="5" t="s">
        <v>46</v>
      </c>
      <c r="C42" s="5" t="s">
        <v>7</v>
      </c>
      <c r="D42" s="17">
        <v>8000.0</v>
      </c>
      <c r="E42" s="18">
        <v>4.0</v>
      </c>
      <c r="F42" s="6">
        <v>32000.0</v>
      </c>
      <c r="G42" s="31">
        <v>76.0</v>
      </c>
      <c r="H42" s="5">
        <v>80.0</v>
      </c>
      <c r="I42" s="5">
        <v>36.0</v>
      </c>
      <c r="J42" s="5">
        <v>0.0</v>
      </c>
      <c r="K42" s="5">
        <v>0.0</v>
      </c>
      <c r="L42" s="6">
        <v>911.0</v>
      </c>
      <c r="M42" s="6">
        <v>911.0</v>
      </c>
      <c r="N42" s="6">
        <v>1250.0</v>
      </c>
      <c r="O42" s="6">
        <v>833.0</v>
      </c>
      <c r="P42" s="6">
        <v>250.0</v>
      </c>
      <c r="Q42" s="6">
        <v>0.0</v>
      </c>
      <c r="R42" s="23" t="s">
        <v>47</v>
      </c>
      <c r="S42" s="6">
        <v>0.0</v>
      </c>
      <c r="T42" s="6">
        <v>0.0</v>
      </c>
      <c r="U42" s="6">
        <v>0.0</v>
      </c>
      <c r="V42" s="23">
        <v>962.0</v>
      </c>
      <c r="W42" s="46">
        <v>137.0</v>
      </c>
      <c r="X42" s="46">
        <v>362.0</v>
      </c>
      <c r="Y42" s="46">
        <v>547.0</v>
      </c>
      <c r="Z42" s="46">
        <v>125.0</v>
      </c>
      <c r="AA42" s="47">
        <v>1920.0</v>
      </c>
      <c r="AB42" s="47">
        <v>1600.0</v>
      </c>
      <c r="AC42" s="6">
        <v>11581.0</v>
      </c>
      <c r="AD42" s="6">
        <v>20419.0</v>
      </c>
      <c r="AE42" s="7">
        <v>0.63809375</v>
      </c>
    </row>
    <row r="43" ht="15.75" customHeight="1">
      <c r="A43" s="5" t="s">
        <v>60</v>
      </c>
      <c r="B43" s="5" t="s">
        <v>48</v>
      </c>
      <c r="C43" s="5" t="s">
        <v>7</v>
      </c>
      <c r="D43" s="17">
        <v>8000.0</v>
      </c>
      <c r="E43" s="18">
        <v>5.0</v>
      </c>
      <c r="F43" s="6">
        <v>40000.0</v>
      </c>
      <c r="G43" s="31">
        <v>86.0</v>
      </c>
      <c r="H43" s="5">
        <v>99.0</v>
      </c>
      <c r="I43" s="5">
        <v>50.0</v>
      </c>
      <c r="J43" s="5">
        <v>0.0</v>
      </c>
      <c r="K43" s="5">
        <v>0.0</v>
      </c>
      <c r="L43" s="6">
        <v>1049.0</v>
      </c>
      <c r="M43" s="6">
        <v>1049.0</v>
      </c>
      <c r="N43" s="6">
        <v>1250.0</v>
      </c>
      <c r="O43" s="6">
        <v>833.0</v>
      </c>
      <c r="P43" s="6">
        <v>250.0</v>
      </c>
      <c r="Q43" s="6">
        <v>0.0</v>
      </c>
      <c r="R43" s="23" t="s">
        <v>47</v>
      </c>
      <c r="S43" s="6">
        <v>0.0</v>
      </c>
      <c r="T43" s="6">
        <v>0.0</v>
      </c>
      <c r="U43" s="6">
        <v>0.0</v>
      </c>
      <c r="V43" s="48">
        <v>1107.0</v>
      </c>
      <c r="W43" s="46">
        <v>157.0</v>
      </c>
      <c r="X43" s="46">
        <v>417.0</v>
      </c>
      <c r="Y43" s="46">
        <v>787.0</v>
      </c>
      <c r="Z43" s="46">
        <v>125.0</v>
      </c>
      <c r="AA43" s="47">
        <v>2400.0</v>
      </c>
      <c r="AB43" s="47">
        <v>2000.0</v>
      </c>
      <c r="AC43" s="6">
        <v>12701.0</v>
      </c>
      <c r="AD43" s="6">
        <v>27299.0</v>
      </c>
      <c r="AE43" s="7">
        <v>-0.5482828282828283</v>
      </c>
    </row>
    <row r="44" ht="15.75" customHeight="1">
      <c r="A44" s="5" t="s">
        <v>60</v>
      </c>
      <c r="B44" s="5" t="s">
        <v>49</v>
      </c>
      <c r="C44" s="5" t="s">
        <v>7</v>
      </c>
      <c r="D44" s="17">
        <v>5400.0</v>
      </c>
      <c r="E44" s="18">
        <v>4.0</v>
      </c>
      <c r="F44" s="6">
        <v>21600.0</v>
      </c>
      <c r="G44" s="5">
        <v>172.0</v>
      </c>
      <c r="H44" s="5">
        <v>79.0</v>
      </c>
      <c r="I44" s="5">
        <v>40.0</v>
      </c>
      <c r="J44" s="5">
        <v>0.0</v>
      </c>
      <c r="K44" s="5">
        <v>0.0</v>
      </c>
      <c r="L44" s="6">
        <v>1019.0</v>
      </c>
      <c r="M44" s="6">
        <v>1019.0</v>
      </c>
      <c r="N44" s="6">
        <v>1250.0</v>
      </c>
      <c r="O44" s="6">
        <v>833.0</v>
      </c>
      <c r="P44" s="6">
        <v>250.0</v>
      </c>
      <c r="Q44" s="6">
        <v>0.0</v>
      </c>
      <c r="R44" s="23" t="s">
        <v>47</v>
      </c>
      <c r="S44" s="6">
        <v>0.0</v>
      </c>
      <c r="T44" s="6">
        <v>0.0</v>
      </c>
      <c r="U44" s="6">
        <v>0.0</v>
      </c>
      <c r="V44" s="48">
        <v>1075.0</v>
      </c>
      <c r="W44" s="46">
        <v>153.0</v>
      </c>
      <c r="X44" s="46">
        <v>405.0</v>
      </c>
      <c r="Y44" s="46">
        <v>612.0</v>
      </c>
      <c r="Z44" s="46">
        <v>125.0</v>
      </c>
      <c r="AA44" s="47">
        <v>1296.0</v>
      </c>
      <c r="AB44" s="47">
        <v>1080.0</v>
      </c>
      <c r="AC44" s="6">
        <v>10644.0</v>
      </c>
      <c r="AD44" s="6">
        <v>10956.0</v>
      </c>
      <c r="AE44" s="7">
        <v>-0.5824242424242424</v>
      </c>
    </row>
    <row r="45" ht="15.75" customHeight="1">
      <c r="A45" s="5" t="s">
        <v>60</v>
      </c>
      <c r="B45" s="5" t="s">
        <v>50</v>
      </c>
      <c r="C45" s="5" t="s">
        <v>7</v>
      </c>
      <c r="D45" s="17">
        <v>4500.0</v>
      </c>
      <c r="E45" s="18">
        <v>5.0</v>
      </c>
      <c r="F45" s="6">
        <v>22500.0</v>
      </c>
      <c r="G45" s="5">
        <v>176.0</v>
      </c>
      <c r="H45" s="5">
        <v>93.0</v>
      </c>
      <c r="I45" s="5">
        <v>55.0</v>
      </c>
      <c r="J45" s="5">
        <v>0.0</v>
      </c>
      <c r="K45" s="5">
        <v>0.0</v>
      </c>
      <c r="L45" s="6">
        <v>1117.0</v>
      </c>
      <c r="M45" s="6">
        <v>1117.0</v>
      </c>
      <c r="N45" s="6">
        <v>1250.0</v>
      </c>
      <c r="O45" s="6">
        <v>833.0</v>
      </c>
      <c r="P45" s="6">
        <v>250.0</v>
      </c>
      <c r="Q45" s="6">
        <v>0.0</v>
      </c>
      <c r="R45" s="23" t="s">
        <v>47</v>
      </c>
      <c r="S45" s="6">
        <v>0.0</v>
      </c>
      <c r="T45" s="6">
        <v>0.0</v>
      </c>
      <c r="U45" s="6">
        <v>0.0</v>
      </c>
      <c r="V45" s="48">
        <v>1179.0</v>
      </c>
      <c r="W45" s="46">
        <v>168.0</v>
      </c>
      <c r="X45" s="46">
        <v>444.0</v>
      </c>
      <c r="Y45" s="46">
        <v>838.0</v>
      </c>
      <c r="Z45" s="46">
        <v>125.0</v>
      </c>
      <c r="AA45" s="47">
        <v>1350.0</v>
      </c>
      <c r="AB45" s="47">
        <v>1125.0</v>
      </c>
      <c r="AC45" s="6">
        <v>11125.0</v>
      </c>
      <c r="AD45" s="6">
        <v>11375.0</v>
      </c>
      <c r="AE45" s="7">
        <v>-0.6246464646464647</v>
      </c>
    </row>
    <row r="46" ht="15.75" customHeight="1">
      <c r="A46" s="5" t="s">
        <v>61</v>
      </c>
      <c r="B46" s="5" t="s">
        <v>46</v>
      </c>
      <c r="C46" s="5" t="s">
        <v>7</v>
      </c>
      <c r="D46" s="17">
        <v>4500.0</v>
      </c>
      <c r="E46" s="18">
        <v>5.0</v>
      </c>
      <c r="F46" s="6">
        <v>22500.0</v>
      </c>
      <c r="G46" s="5">
        <v>176.0</v>
      </c>
      <c r="H46" s="5">
        <v>92.0</v>
      </c>
      <c r="I46" s="5">
        <v>51.0</v>
      </c>
      <c r="J46" s="5">
        <v>0.0</v>
      </c>
      <c r="K46" s="5">
        <v>0.0</v>
      </c>
      <c r="L46" s="6">
        <v>1119.0</v>
      </c>
      <c r="M46" s="6">
        <v>1119.0</v>
      </c>
      <c r="N46" s="6">
        <v>1250.0</v>
      </c>
      <c r="O46" s="6">
        <v>833.0</v>
      </c>
      <c r="P46" s="6">
        <v>250.0</v>
      </c>
      <c r="Q46" s="6">
        <v>0.0</v>
      </c>
      <c r="R46" s="23" t="s">
        <v>47</v>
      </c>
      <c r="S46" s="6">
        <v>0.0</v>
      </c>
      <c r="T46" s="6">
        <v>0.0</v>
      </c>
      <c r="U46" s="6">
        <v>0.0</v>
      </c>
      <c r="V46" s="48">
        <v>1181.0</v>
      </c>
      <c r="W46" s="46">
        <v>168.0</v>
      </c>
      <c r="X46" s="46">
        <v>444.0</v>
      </c>
      <c r="Y46" s="46">
        <v>840.0</v>
      </c>
      <c r="Z46" s="46">
        <v>125.0</v>
      </c>
      <c r="AA46" s="47">
        <v>1350.0</v>
      </c>
      <c r="AB46" s="47">
        <v>1125.0</v>
      </c>
      <c r="AC46" s="6">
        <v>12389.0</v>
      </c>
      <c r="AD46" s="6">
        <v>10111.0</v>
      </c>
      <c r="AE46" s="7">
        <v>-0.5824242424242424</v>
      </c>
    </row>
    <row r="47" ht="15.75" customHeight="1">
      <c r="A47" s="5" t="s">
        <v>61</v>
      </c>
      <c r="B47" s="5" t="s">
        <v>48</v>
      </c>
      <c r="C47" s="5" t="s">
        <v>7</v>
      </c>
      <c r="D47" s="17">
        <v>5400.0</v>
      </c>
      <c r="E47" s="18">
        <v>5.0</v>
      </c>
      <c r="F47" s="6">
        <v>27000.0</v>
      </c>
      <c r="G47" s="5">
        <v>176.0</v>
      </c>
      <c r="H47" s="5">
        <v>108.0</v>
      </c>
      <c r="I47" s="5">
        <v>46.0</v>
      </c>
      <c r="J47" s="5">
        <v>0.0</v>
      </c>
      <c r="K47" s="5">
        <v>0.0</v>
      </c>
      <c r="L47" s="6">
        <v>1089.0</v>
      </c>
      <c r="M47" s="6">
        <v>1089.0</v>
      </c>
      <c r="N47" s="6">
        <v>1250.0</v>
      </c>
      <c r="O47" s="6">
        <v>833.0</v>
      </c>
      <c r="P47" s="6">
        <v>250.0</v>
      </c>
      <c r="Q47" s="6">
        <v>0.0</v>
      </c>
      <c r="R47" s="23" t="s">
        <v>47</v>
      </c>
      <c r="S47" s="6">
        <v>0.0</v>
      </c>
      <c r="T47" s="6">
        <v>0.0</v>
      </c>
      <c r="U47" s="6">
        <v>0.0</v>
      </c>
      <c r="V47" s="48">
        <v>1149.0</v>
      </c>
      <c r="W47" s="46">
        <v>163.0</v>
      </c>
      <c r="X47" s="46">
        <v>432.0</v>
      </c>
      <c r="Y47" s="46">
        <v>817.0</v>
      </c>
      <c r="Z47" s="46">
        <v>125.0</v>
      </c>
      <c r="AA47" s="47">
        <v>1620.0</v>
      </c>
      <c r="AB47" s="47">
        <v>1350.0</v>
      </c>
      <c r="AC47" s="6">
        <v>12009.0</v>
      </c>
      <c r="AD47" s="6">
        <v>14991.0</v>
      </c>
      <c r="AE47" s="7">
        <v>-0.6246464646464647</v>
      </c>
    </row>
    <row r="48" ht="15.75" customHeight="1">
      <c r="A48" s="5" t="s">
        <v>61</v>
      </c>
      <c r="B48" s="5" t="s">
        <v>49</v>
      </c>
      <c r="C48" s="5" t="s">
        <v>7</v>
      </c>
      <c r="D48" s="17">
        <v>8000.0</v>
      </c>
      <c r="E48" s="18">
        <v>5.0</v>
      </c>
      <c r="F48" s="6">
        <v>40000.0</v>
      </c>
      <c r="G48" s="5">
        <v>176.0</v>
      </c>
      <c r="H48" s="5">
        <v>100.0</v>
      </c>
      <c r="I48" s="5">
        <v>47.0</v>
      </c>
      <c r="J48" s="5">
        <v>0.0</v>
      </c>
      <c r="K48" s="5">
        <v>0.0</v>
      </c>
      <c r="L48" s="6">
        <v>1083.0</v>
      </c>
      <c r="M48" s="6">
        <v>1083.0</v>
      </c>
      <c r="N48" s="6">
        <v>1250.0</v>
      </c>
      <c r="O48" s="6">
        <v>833.0</v>
      </c>
      <c r="P48" s="6">
        <v>250.0</v>
      </c>
      <c r="Q48" s="6">
        <v>0.0</v>
      </c>
      <c r="R48" s="23" t="s">
        <v>47</v>
      </c>
      <c r="S48" s="6">
        <v>0.0</v>
      </c>
      <c r="T48" s="6">
        <v>0.0</v>
      </c>
      <c r="U48" s="6">
        <v>0.0</v>
      </c>
      <c r="V48" s="48">
        <v>1142.0</v>
      </c>
      <c r="W48" s="46">
        <v>162.0</v>
      </c>
      <c r="X48" s="46">
        <v>430.0</v>
      </c>
      <c r="Y48" s="46">
        <v>812.0</v>
      </c>
      <c r="Z48" s="46">
        <v>125.0</v>
      </c>
      <c r="AA48" s="47">
        <v>2400.0</v>
      </c>
      <c r="AB48" s="47">
        <v>2000.0</v>
      </c>
      <c r="AC48" s="6">
        <v>13582.0</v>
      </c>
      <c r="AD48" s="6">
        <v>26418.0</v>
      </c>
      <c r="AE48" s="7">
        <v>-0.638080808080808</v>
      </c>
    </row>
    <row r="49" ht="15.75" customHeight="1">
      <c r="A49" s="5" t="s">
        <v>61</v>
      </c>
      <c r="B49" s="5" t="s">
        <v>50</v>
      </c>
      <c r="C49" s="5" t="s">
        <v>7</v>
      </c>
      <c r="D49" s="17">
        <v>4500.0</v>
      </c>
      <c r="E49" s="18">
        <v>4.0</v>
      </c>
      <c r="F49" s="6">
        <v>18000.0</v>
      </c>
      <c r="G49" s="5">
        <v>163.0</v>
      </c>
      <c r="H49" s="5">
        <v>78.0</v>
      </c>
      <c r="I49" s="5">
        <v>41.0</v>
      </c>
      <c r="J49" s="5">
        <v>0.0</v>
      </c>
      <c r="K49" s="5">
        <v>0.0</v>
      </c>
      <c r="L49" s="6">
        <v>949.0</v>
      </c>
      <c r="M49" s="6">
        <v>949.0</v>
      </c>
      <c r="N49" s="6">
        <v>1250.0</v>
      </c>
      <c r="O49" s="6">
        <v>833.0</v>
      </c>
      <c r="P49" s="6">
        <v>250.0</v>
      </c>
      <c r="Q49" s="6">
        <v>0.0</v>
      </c>
      <c r="R49" s="23" t="s">
        <v>47</v>
      </c>
      <c r="S49" s="6">
        <v>0.0</v>
      </c>
      <c r="T49" s="6">
        <v>0.0</v>
      </c>
      <c r="U49" s="6">
        <v>0.0</v>
      </c>
      <c r="V49" s="48">
        <v>1001.0</v>
      </c>
      <c r="W49" s="46">
        <v>142.0</v>
      </c>
      <c r="X49" s="46">
        <v>377.0</v>
      </c>
      <c r="Y49" s="46">
        <v>569.0</v>
      </c>
      <c r="Z49" s="46">
        <v>125.0</v>
      </c>
      <c r="AA49" s="47">
        <v>1080.0</v>
      </c>
      <c r="AB49" s="46">
        <v>900.0</v>
      </c>
      <c r="AC49" s="6">
        <v>10257.0</v>
      </c>
      <c r="AD49" s="6">
        <v>7743.0</v>
      </c>
      <c r="AE49" s="7">
        <v>-0.6246464646464647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1">
      <c r="A1" s="4" t="s">
        <v>18</v>
      </c>
      <c r="B1" s="4" t="s">
        <v>19</v>
      </c>
      <c r="C1" s="4" t="s">
        <v>1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  <c r="AB1" s="4" t="s">
        <v>44</v>
      </c>
      <c r="AC1" s="4" t="s">
        <v>3</v>
      </c>
      <c r="AD1" s="4" t="s">
        <v>4</v>
      </c>
      <c r="AE1" s="4" t="s">
        <v>5</v>
      </c>
    </row>
    <row r="2">
      <c r="A2" s="11" t="s">
        <v>45</v>
      </c>
      <c r="B2" s="11" t="s">
        <v>48</v>
      </c>
      <c r="C2" s="11" t="s">
        <v>9</v>
      </c>
      <c r="D2" s="24">
        <v>9900.0</v>
      </c>
      <c r="E2" s="25">
        <v>1.0</v>
      </c>
      <c r="F2" s="12">
        <v>9900.0</v>
      </c>
      <c r="G2" s="11">
        <v>0.0</v>
      </c>
      <c r="H2" s="11">
        <v>7.0</v>
      </c>
      <c r="I2" s="11">
        <v>29.0</v>
      </c>
      <c r="J2" s="11">
        <v>12.0</v>
      </c>
      <c r="K2" s="11">
        <v>0.0</v>
      </c>
      <c r="L2" s="12">
        <v>0.0</v>
      </c>
      <c r="M2" s="12">
        <v>1087.0</v>
      </c>
      <c r="N2" s="12">
        <v>2060.0</v>
      </c>
      <c r="O2" s="12">
        <v>833.0</v>
      </c>
      <c r="P2" s="12">
        <v>250.0</v>
      </c>
      <c r="Q2" s="12">
        <v>0.0</v>
      </c>
      <c r="R2" s="26">
        <v>5551.0</v>
      </c>
      <c r="S2" s="12">
        <v>0.0</v>
      </c>
      <c r="T2" s="12">
        <v>694.0</v>
      </c>
      <c r="U2" s="12">
        <v>3000.0</v>
      </c>
      <c r="V2" s="12">
        <v>1147.0</v>
      </c>
      <c r="W2" s="12" t="s">
        <v>47</v>
      </c>
      <c r="X2" s="12" t="s">
        <v>47</v>
      </c>
      <c r="Y2" s="12" t="s">
        <v>47</v>
      </c>
      <c r="Z2" s="12" t="s">
        <v>47</v>
      </c>
      <c r="AA2" s="12">
        <v>594.0</v>
      </c>
      <c r="AB2" s="12">
        <v>495.0</v>
      </c>
      <c r="AC2" s="12">
        <v>15711.0</v>
      </c>
      <c r="AD2" s="12">
        <v>-5811.0</v>
      </c>
      <c r="AE2" s="13">
        <v>-0.5869696969696969</v>
      </c>
    </row>
    <row r="3">
      <c r="A3" s="11" t="s">
        <v>45</v>
      </c>
      <c r="B3" s="11" t="s">
        <v>50</v>
      </c>
      <c r="C3" s="11" t="s">
        <v>9</v>
      </c>
      <c r="D3" s="24">
        <v>9900.0</v>
      </c>
      <c r="E3" s="25">
        <v>2.0</v>
      </c>
      <c r="F3" s="12">
        <v>19800.0</v>
      </c>
      <c r="G3" s="11">
        <v>0.0</v>
      </c>
      <c r="H3" s="11">
        <v>17.0</v>
      </c>
      <c r="I3" s="11">
        <v>60.0</v>
      </c>
      <c r="J3" s="11">
        <v>43.0</v>
      </c>
      <c r="K3" s="11">
        <v>0.0</v>
      </c>
      <c r="L3" s="12">
        <v>0.0</v>
      </c>
      <c r="M3" s="12">
        <v>944.0</v>
      </c>
      <c r="N3" s="12">
        <v>3125.0</v>
      </c>
      <c r="O3" s="12">
        <v>833.0</v>
      </c>
      <c r="P3" s="12">
        <v>250.0</v>
      </c>
      <c r="Q3" s="12">
        <v>0.0</v>
      </c>
      <c r="R3" s="26">
        <v>6588.0</v>
      </c>
      <c r="S3" s="12">
        <v>0.0</v>
      </c>
      <c r="T3" s="12">
        <v>347.0</v>
      </c>
      <c r="U3" s="12">
        <v>1500.0</v>
      </c>
      <c r="V3" s="12">
        <v>996.0</v>
      </c>
      <c r="W3" s="12" t="s">
        <v>47</v>
      </c>
      <c r="X3" s="12" t="s">
        <v>47</v>
      </c>
      <c r="Y3" s="12" t="s">
        <v>47</v>
      </c>
      <c r="Z3" s="12" t="s">
        <v>47</v>
      </c>
      <c r="AA3" s="12">
        <v>1188.0</v>
      </c>
      <c r="AB3" s="12">
        <v>990.0</v>
      </c>
      <c r="AC3" s="12">
        <v>16761.0</v>
      </c>
      <c r="AD3" s="12">
        <v>3039.0</v>
      </c>
      <c r="AE3" s="28">
        <v>0.15348484848484847</v>
      </c>
    </row>
    <row r="4">
      <c r="A4" s="11" t="s">
        <v>51</v>
      </c>
      <c r="B4" s="11" t="s">
        <v>48</v>
      </c>
      <c r="C4" s="11" t="s">
        <v>9</v>
      </c>
      <c r="D4" s="24">
        <v>9900.0</v>
      </c>
      <c r="E4" s="25">
        <v>1.0</v>
      </c>
      <c r="F4" s="12">
        <v>9900.0</v>
      </c>
      <c r="G4" s="11">
        <v>0.0</v>
      </c>
      <c r="H4" s="11">
        <v>8.0</v>
      </c>
      <c r="I4" s="11">
        <v>29.0</v>
      </c>
      <c r="J4" s="11">
        <v>14.0</v>
      </c>
      <c r="K4" s="11">
        <v>0.0</v>
      </c>
      <c r="L4" s="12">
        <v>0.0</v>
      </c>
      <c r="M4" s="12">
        <v>906.0</v>
      </c>
      <c r="N4" s="12">
        <v>2060.0</v>
      </c>
      <c r="O4" s="12">
        <v>833.0</v>
      </c>
      <c r="P4" s="12">
        <v>250.0</v>
      </c>
      <c r="Q4" s="12">
        <v>0.0</v>
      </c>
      <c r="R4" s="26">
        <v>5706.0</v>
      </c>
      <c r="S4" s="12">
        <v>0.0</v>
      </c>
      <c r="T4" s="12">
        <v>694.0</v>
      </c>
      <c r="U4" s="12">
        <v>3000.0</v>
      </c>
      <c r="V4" s="12">
        <v>955.0</v>
      </c>
      <c r="W4" s="12" t="s">
        <v>47</v>
      </c>
      <c r="X4" s="12" t="s">
        <v>47</v>
      </c>
      <c r="Y4" s="12" t="s">
        <v>47</v>
      </c>
      <c r="Z4" s="12" t="s">
        <v>47</v>
      </c>
      <c r="AA4" s="12">
        <v>594.0</v>
      </c>
      <c r="AB4" s="12">
        <v>495.0</v>
      </c>
      <c r="AC4" s="12">
        <v>15493.0</v>
      </c>
      <c r="AD4" s="12">
        <v>-5593.0</v>
      </c>
      <c r="AE4" s="13">
        <v>-0.564949494949495</v>
      </c>
    </row>
    <row r="5">
      <c r="A5" s="11" t="s">
        <v>52</v>
      </c>
      <c r="B5" s="11" t="s">
        <v>46</v>
      </c>
      <c r="C5" s="11" t="s">
        <v>9</v>
      </c>
      <c r="D5" s="24">
        <v>9900.0</v>
      </c>
      <c r="E5" s="25">
        <v>2.0</v>
      </c>
      <c r="F5" s="12">
        <v>19800.0</v>
      </c>
      <c r="G5" s="11">
        <v>0.0</v>
      </c>
      <c r="H5" s="11">
        <v>16.0</v>
      </c>
      <c r="I5" s="11">
        <v>57.0</v>
      </c>
      <c r="J5" s="11">
        <v>43.0</v>
      </c>
      <c r="K5" s="11">
        <v>0.0</v>
      </c>
      <c r="L5" s="12">
        <v>0.0</v>
      </c>
      <c r="M5" s="12">
        <v>1018.0</v>
      </c>
      <c r="N5" s="12">
        <v>3125.0</v>
      </c>
      <c r="O5" s="12">
        <v>833.0</v>
      </c>
      <c r="P5" s="12">
        <v>250.0</v>
      </c>
      <c r="Q5" s="12">
        <v>0.0</v>
      </c>
      <c r="R5" s="26">
        <v>6238.0</v>
      </c>
      <c r="S5" s="12">
        <v>0.0</v>
      </c>
      <c r="T5" s="12">
        <v>347.0</v>
      </c>
      <c r="U5" s="12">
        <v>1500.0</v>
      </c>
      <c r="V5" s="12">
        <v>1074.0</v>
      </c>
      <c r="W5" s="12" t="s">
        <v>47</v>
      </c>
      <c r="X5" s="12" t="s">
        <v>47</v>
      </c>
      <c r="Y5" s="12" t="s">
        <v>47</v>
      </c>
      <c r="Z5" s="12" t="s">
        <v>47</v>
      </c>
      <c r="AA5" s="12">
        <v>1188.0</v>
      </c>
      <c r="AB5" s="12">
        <v>990.0</v>
      </c>
      <c r="AC5" s="12">
        <v>16563.0</v>
      </c>
      <c r="AD5" s="12">
        <v>3237.0</v>
      </c>
      <c r="AE5" s="28">
        <v>0.16348484848484848</v>
      </c>
    </row>
    <row r="6">
      <c r="A6" s="11" t="s">
        <v>52</v>
      </c>
      <c r="B6" s="11" t="s">
        <v>48</v>
      </c>
      <c r="C6" s="11" t="s">
        <v>9</v>
      </c>
      <c r="D6" s="24">
        <v>9900.0</v>
      </c>
      <c r="E6" s="25">
        <v>1.0</v>
      </c>
      <c r="F6" s="12">
        <v>9900.0</v>
      </c>
      <c r="G6" s="11">
        <v>0.0</v>
      </c>
      <c r="H6" s="11">
        <v>7.0</v>
      </c>
      <c r="I6" s="11">
        <v>33.0</v>
      </c>
      <c r="J6" s="11">
        <v>26.0</v>
      </c>
      <c r="K6" s="11">
        <v>0.0</v>
      </c>
      <c r="L6" s="12">
        <v>0.0</v>
      </c>
      <c r="M6" s="12">
        <v>924.0</v>
      </c>
      <c r="N6" s="12">
        <v>2344.0</v>
      </c>
      <c r="O6" s="12">
        <v>833.0</v>
      </c>
      <c r="P6" s="12">
        <v>250.0</v>
      </c>
      <c r="Q6" s="12">
        <v>0.0</v>
      </c>
      <c r="R6" s="26">
        <v>5797.0</v>
      </c>
      <c r="S6" s="12">
        <v>0.0</v>
      </c>
      <c r="T6" s="12">
        <v>694.0</v>
      </c>
      <c r="U6" s="12">
        <v>3000.0</v>
      </c>
      <c r="V6" s="12">
        <v>975.0</v>
      </c>
      <c r="W6" s="12" t="s">
        <v>47</v>
      </c>
      <c r="X6" s="12" t="s">
        <v>47</v>
      </c>
      <c r="Y6" s="12" t="s">
        <v>47</v>
      </c>
      <c r="Z6" s="12" t="s">
        <v>47</v>
      </c>
      <c r="AA6" s="12">
        <v>594.0</v>
      </c>
      <c r="AB6" s="12">
        <v>495.0</v>
      </c>
      <c r="AC6" s="12">
        <v>15906.0</v>
      </c>
      <c r="AD6" s="12">
        <v>-6006.0</v>
      </c>
      <c r="AE6" s="13">
        <v>-0.6066666666666667</v>
      </c>
    </row>
    <row r="7">
      <c r="A7" s="11" t="s">
        <v>55</v>
      </c>
      <c r="B7" s="11" t="s">
        <v>46</v>
      </c>
      <c r="C7" s="11" t="s">
        <v>9</v>
      </c>
      <c r="D7" s="24">
        <v>9900.0</v>
      </c>
      <c r="E7" s="25">
        <v>1.0</v>
      </c>
      <c r="F7" s="12">
        <v>9900.0</v>
      </c>
      <c r="G7" s="11">
        <v>0.0</v>
      </c>
      <c r="H7" s="11">
        <v>9.0</v>
      </c>
      <c r="I7" s="11">
        <v>32.0</v>
      </c>
      <c r="J7" s="11">
        <v>22.0</v>
      </c>
      <c r="K7" s="11">
        <v>0.0</v>
      </c>
      <c r="L7" s="12">
        <v>0.0</v>
      </c>
      <c r="M7" s="12">
        <v>927.0</v>
      </c>
      <c r="N7" s="12">
        <v>2273.0</v>
      </c>
      <c r="O7" s="12">
        <v>833.0</v>
      </c>
      <c r="P7" s="12">
        <v>250.0</v>
      </c>
      <c r="Q7" s="12">
        <v>0.0</v>
      </c>
      <c r="R7" s="26">
        <v>5711.0</v>
      </c>
      <c r="S7" s="12">
        <v>0.0</v>
      </c>
      <c r="T7" s="12">
        <v>694.0</v>
      </c>
      <c r="U7" s="12">
        <v>3000.0</v>
      </c>
      <c r="V7" s="12">
        <v>978.0</v>
      </c>
      <c r="W7" s="12" t="s">
        <v>47</v>
      </c>
      <c r="X7" s="12" t="s">
        <v>47</v>
      </c>
      <c r="Y7" s="12" t="s">
        <v>47</v>
      </c>
      <c r="Z7" s="12" t="s">
        <v>47</v>
      </c>
      <c r="AA7" s="12">
        <v>594.0</v>
      </c>
      <c r="AB7" s="12">
        <v>495.0</v>
      </c>
      <c r="AC7" s="12">
        <v>15755.0</v>
      </c>
      <c r="AD7" s="12">
        <v>-5855.0</v>
      </c>
      <c r="AE7" s="13">
        <v>-0.5914141414141414</v>
      </c>
    </row>
    <row r="8">
      <c r="A8" s="11" t="s">
        <v>55</v>
      </c>
      <c r="B8" s="11" t="s">
        <v>49</v>
      </c>
      <c r="C8" s="11" t="s">
        <v>9</v>
      </c>
      <c r="D8" s="24">
        <v>9900.0</v>
      </c>
      <c r="E8" s="25">
        <v>1.0</v>
      </c>
      <c r="F8" s="12">
        <v>9900.0</v>
      </c>
      <c r="G8" s="11">
        <v>0.0</v>
      </c>
      <c r="H8" s="11">
        <v>8.0</v>
      </c>
      <c r="I8" s="11">
        <v>32.0</v>
      </c>
      <c r="J8" s="11">
        <v>7.0</v>
      </c>
      <c r="K8" s="11">
        <v>0.0</v>
      </c>
      <c r="L8" s="12">
        <v>0.0</v>
      </c>
      <c r="M8" s="12">
        <v>1057.0</v>
      </c>
      <c r="N8" s="12">
        <v>2273.0</v>
      </c>
      <c r="O8" s="12">
        <v>833.0</v>
      </c>
      <c r="P8" s="12">
        <v>250.0</v>
      </c>
      <c r="Q8" s="12">
        <v>0.0</v>
      </c>
      <c r="R8" s="26">
        <v>5215.0</v>
      </c>
      <c r="S8" s="12">
        <v>0.0</v>
      </c>
      <c r="T8" s="12">
        <v>694.0</v>
      </c>
      <c r="U8" s="12">
        <v>3000.0</v>
      </c>
      <c r="V8" s="12">
        <v>1115.0</v>
      </c>
      <c r="W8" s="12" t="s">
        <v>47</v>
      </c>
      <c r="X8" s="12" t="s">
        <v>47</v>
      </c>
      <c r="Y8" s="12" t="s">
        <v>47</v>
      </c>
      <c r="Z8" s="12" t="s">
        <v>47</v>
      </c>
      <c r="AA8" s="12">
        <v>594.0</v>
      </c>
      <c r="AB8" s="12">
        <v>495.0</v>
      </c>
      <c r="AC8" s="12">
        <v>15526.0</v>
      </c>
      <c r="AD8" s="12">
        <v>-5626.0</v>
      </c>
      <c r="AE8" s="13">
        <v>-0.5682828282828283</v>
      </c>
    </row>
    <row r="9">
      <c r="A9" s="11" t="s">
        <v>55</v>
      </c>
      <c r="B9" s="11" t="s">
        <v>50</v>
      </c>
      <c r="C9" s="11" t="s">
        <v>9</v>
      </c>
      <c r="D9" s="24">
        <v>9900.0</v>
      </c>
      <c r="E9" s="25">
        <v>1.0</v>
      </c>
      <c r="F9" s="12">
        <v>9900.0</v>
      </c>
      <c r="G9" s="11">
        <v>0.0</v>
      </c>
      <c r="H9" s="11">
        <v>8.0</v>
      </c>
      <c r="I9" s="11">
        <v>33.0</v>
      </c>
      <c r="J9" s="11">
        <v>27.0</v>
      </c>
      <c r="K9" s="11">
        <v>0.0</v>
      </c>
      <c r="L9" s="12">
        <v>0.0</v>
      </c>
      <c r="M9" s="12">
        <v>972.0</v>
      </c>
      <c r="N9" s="12">
        <v>2344.0</v>
      </c>
      <c r="O9" s="12">
        <v>833.0</v>
      </c>
      <c r="P9" s="12">
        <v>250.0</v>
      </c>
      <c r="Q9" s="12">
        <v>0.0</v>
      </c>
      <c r="R9" s="26">
        <v>5289.0</v>
      </c>
      <c r="S9" s="12">
        <v>0.0</v>
      </c>
      <c r="T9" s="12">
        <v>694.0</v>
      </c>
      <c r="U9" s="12">
        <v>3000.0</v>
      </c>
      <c r="V9" s="12">
        <v>1026.0</v>
      </c>
      <c r="W9" s="12" t="s">
        <v>47</v>
      </c>
      <c r="X9" s="12" t="s">
        <v>47</v>
      </c>
      <c r="Y9" s="12" t="s">
        <v>47</v>
      </c>
      <c r="Z9" s="12" t="s">
        <v>47</v>
      </c>
      <c r="AA9" s="12">
        <v>594.0</v>
      </c>
      <c r="AB9" s="12">
        <v>495.0</v>
      </c>
      <c r="AC9" s="12">
        <v>15497.0</v>
      </c>
      <c r="AD9" s="12">
        <v>-5597.0</v>
      </c>
      <c r="AE9" s="13">
        <v>-0.5653535353535354</v>
      </c>
    </row>
    <row r="10">
      <c r="A10" s="11" t="s">
        <v>56</v>
      </c>
      <c r="B10" s="11" t="s">
        <v>46</v>
      </c>
      <c r="C10" s="11" t="s">
        <v>9</v>
      </c>
      <c r="D10" s="24">
        <v>9900.0</v>
      </c>
      <c r="E10" s="25">
        <v>2.0</v>
      </c>
      <c r="F10" s="12">
        <v>19800.0</v>
      </c>
      <c r="G10" s="11">
        <v>0.0</v>
      </c>
      <c r="H10" s="11">
        <v>17.0</v>
      </c>
      <c r="I10" s="11">
        <v>59.0</v>
      </c>
      <c r="J10" s="11">
        <v>27.0</v>
      </c>
      <c r="K10" s="11">
        <v>0.0</v>
      </c>
      <c r="L10" s="12">
        <v>0.0</v>
      </c>
      <c r="M10" s="12">
        <v>996.0</v>
      </c>
      <c r="N10" s="12">
        <v>3125.0</v>
      </c>
      <c r="O10" s="12">
        <v>833.0</v>
      </c>
      <c r="P10" s="12">
        <v>250.0</v>
      </c>
      <c r="Q10" s="12">
        <v>0.0</v>
      </c>
      <c r="R10" s="26">
        <v>6498.0</v>
      </c>
      <c r="S10" s="12">
        <v>0.0</v>
      </c>
      <c r="T10" s="12">
        <v>347.0</v>
      </c>
      <c r="U10" s="12">
        <v>1500.0</v>
      </c>
      <c r="V10" s="12">
        <v>1051.0</v>
      </c>
      <c r="W10" s="12" t="s">
        <v>47</v>
      </c>
      <c r="X10" s="12" t="s">
        <v>47</v>
      </c>
      <c r="Y10" s="12" t="s">
        <v>47</v>
      </c>
      <c r="Z10" s="12" t="s">
        <v>47</v>
      </c>
      <c r="AA10" s="12">
        <v>1188.0</v>
      </c>
      <c r="AB10" s="12">
        <v>990.0</v>
      </c>
      <c r="AC10" s="12">
        <v>16778.0</v>
      </c>
      <c r="AD10" s="12">
        <v>3022.0</v>
      </c>
      <c r="AE10" s="28">
        <v>0.15262626262626264</v>
      </c>
    </row>
    <row r="11">
      <c r="A11" s="11" t="s">
        <v>56</v>
      </c>
      <c r="B11" s="11" t="s">
        <v>49</v>
      </c>
      <c r="C11" s="11" t="s">
        <v>9</v>
      </c>
      <c r="D11" s="24">
        <v>9900.0</v>
      </c>
      <c r="E11" s="25">
        <v>1.0</v>
      </c>
      <c r="F11" s="12">
        <v>9900.0</v>
      </c>
      <c r="G11" s="11">
        <v>0.0</v>
      </c>
      <c r="H11" s="11">
        <v>8.0</v>
      </c>
      <c r="I11" s="11">
        <v>31.0</v>
      </c>
      <c r="J11" s="11">
        <v>15.0</v>
      </c>
      <c r="K11" s="11">
        <v>0.0</v>
      </c>
      <c r="L11" s="12">
        <v>0.0</v>
      </c>
      <c r="M11" s="12">
        <v>1072.0</v>
      </c>
      <c r="N11" s="12">
        <v>2202.0</v>
      </c>
      <c r="O11" s="12">
        <v>833.0</v>
      </c>
      <c r="P11" s="12">
        <v>250.0</v>
      </c>
      <c r="Q11" s="12">
        <v>0.0</v>
      </c>
      <c r="R11" s="26">
        <v>5609.0</v>
      </c>
      <c r="S11" s="12">
        <v>0.0</v>
      </c>
      <c r="T11" s="12">
        <v>694.0</v>
      </c>
      <c r="U11" s="12">
        <v>3000.0</v>
      </c>
      <c r="V11" s="12">
        <v>1131.0</v>
      </c>
      <c r="W11" s="12" t="s">
        <v>47</v>
      </c>
      <c r="X11" s="12" t="s">
        <v>47</v>
      </c>
      <c r="Y11" s="12" t="s">
        <v>47</v>
      </c>
      <c r="Z11" s="12" t="s">
        <v>47</v>
      </c>
      <c r="AA11" s="12">
        <v>594.0</v>
      </c>
      <c r="AB11" s="12">
        <v>495.0</v>
      </c>
      <c r="AC11" s="12">
        <v>15880.0</v>
      </c>
      <c r="AD11" s="12">
        <v>-5980.0</v>
      </c>
      <c r="AE11" s="13">
        <v>-0.604040404040404</v>
      </c>
    </row>
    <row r="12">
      <c r="A12" s="11" t="s">
        <v>56</v>
      </c>
      <c r="B12" s="11" t="s">
        <v>50</v>
      </c>
      <c r="C12" s="11" t="s">
        <v>9</v>
      </c>
      <c r="D12" s="24">
        <v>9900.0</v>
      </c>
      <c r="E12" s="25">
        <v>1.0</v>
      </c>
      <c r="F12" s="12">
        <v>9900.0</v>
      </c>
      <c r="G12" s="11">
        <v>0.0</v>
      </c>
      <c r="H12" s="11">
        <v>8.0</v>
      </c>
      <c r="I12" s="11">
        <v>30.0</v>
      </c>
      <c r="J12" s="11">
        <v>27.0</v>
      </c>
      <c r="K12" s="11">
        <v>0.0</v>
      </c>
      <c r="L12" s="12">
        <v>0.0</v>
      </c>
      <c r="M12" s="12">
        <v>924.0</v>
      </c>
      <c r="N12" s="12">
        <v>2131.0</v>
      </c>
      <c r="O12" s="12">
        <v>833.0</v>
      </c>
      <c r="P12" s="12">
        <v>250.0</v>
      </c>
      <c r="Q12" s="12">
        <v>0.0</v>
      </c>
      <c r="R12" s="26">
        <v>5499.0</v>
      </c>
      <c r="S12" s="12">
        <v>0.0</v>
      </c>
      <c r="T12" s="12">
        <v>694.0</v>
      </c>
      <c r="U12" s="12">
        <v>3000.0</v>
      </c>
      <c r="V12" s="12">
        <v>974.0</v>
      </c>
      <c r="W12" s="12" t="s">
        <v>47</v>
      </c>
      <c r="X12" s="12" t="s">
        <v>47</v>
      </c>
      <c r="Y12" s="12" t="s">
        <v>47</v>
      </c>
      <c r="Z12" s="12" t="s">
        <v>47</v>
      </c>
      <c r="AA12" s="12">
        <v>594.0</v>
      </c>
      <c r="AB12" s="12">
        <v>495.0</v>
      </c>
      <c r="AC12" s="12">
        <v>15394.0</v>
      </c>
      <c r="AD12" s="12">
        <v>-5494.0</v>
      </c>
      <c r="AE12" s="13">
        <v>-0.554949494949495</v>
      </c>
    </row>
    <row r="13">
      <c r="A13" s="11" t="s">
        <v>57</v>
      </c>
      <c r="B13" s="11" t="s">
        <v>46</v>
      </c>
      <c r="C13" s="11" t="s">
        <v>9</v>
      </c>
      <c r="D13" s="24">
        <v>9900.0</v>
      </c>
      <c r="E13" s="25">
        <v>1.0</v>
      </c>
      <c r="F13" s="12">
        <v>9900.0</v>
      </c>
      <c r="G13" s="11">
        <v>0.0</v>
      </c>
      <c r="H13" s="11">
        <v>9.0</v>
      </c>
      <c r="I13" s="11">
        <v>31.0</v>
      </c>
      <c r="J13" s="11">
        <v>28.0</v>
      </c>
      <c r="K13" s="11">
        <v>0.0</v>
      </c>
      <c r="L13" s="12">
        <v>0.0</v>
      </c>
      <c r="M13" s="12">
        <v>919.0</v>
      </c>
      <c r="N13" s="12">
        <v>2202.0</v>
      </c>
      <c r="O13" s="12">
        <v>833.0</v>
      </c>
      <c r="P13" s="12">
        <v>250.0</v>
      </c>
      <c r="Q13" s="12">
        <v>0.0</v>
      </c>
      <c r="R13" s="26">
        <v>5869.0</v>
      </c>
      <c r="S13" s="12">
        <v>0.0</v>
      </c>
      <c r="T13" s="12">
        <v>694.0</v>
      </c>
      <c r="U13" s="12">
        <v>3000.0</v>
      </c>
      <c r="V13" s="12">
        <v>970.0</v>
      </c>
      <c r="W13" s="12" t="s">
        <v>47</v>
      </c>
      <c r="X13" s="12" t="s">
        <v>47</v>
      </c>
      <c r="Y13" s="12" t="s">
        <v>47</v>
      </c>
      <c r="Z13" s="12" t="s">
        <v>47</v>
      </c>
      <c r="AA13" s="12">
        <v>594.0</v>
      </c>
      <c r="AB13" s="12">
        <v>495.0</v>
      </c>
      <c r="AC13" s="12">
        <v>15826.0</v>
      </c>
      <c r="AD13" s="12">
        <v>-5926.0</v>
      </c>
      <c r="AE13" s="13">
        <v>-0.5985858585858586</v>
      </c>
    </row>
    <row r="14">
      <c r="A14" s="11" t="s">
        <v>57</v>
      </c>
      <c r="B14" s="11" t="s">
        <v>48</v>
      </c>
      <c r="C14" s="11" t="s">
        <v>9</v>
      </c>
      <c r="D14" s="24">
        <v>9900.0</v>
      </c>
      <c r="E14" s="25">
        <v>1.0</v>
      </c>
      <c r="F14" s="12">
        <v>9900.0</v>
      </c>
      <c r="G14" s="11">
        <v>0.0</v>
      </c>
      <c r="H14" s="11">
        <v>8.0</v>
      </c>
      <c r="I14" s="11">
        <v>28.0</v>
      </c>
      <c r="J14" s="11">
        <v>16.0</v>
      </c>
      <c r="K14" s="11">
        <v>0.0</v>
      </c>
      <c r="L14" s="12">
        <v>0.0</v>
      </c>
      <c r="M14" s="12">
        <v>1008.0</v>
      </c>
      <c r="N14" s="12">
        <v>1989.0</v>
      </c>
      <c r="O14" s="12">
        <v>833.0</v>
      </c>
      <c r="P14" s="12">
        <v>250.0</v>
      </c>
      <c r="Q14" s="12">
        <v>0.0</v>
      </c>
      <c r="R14" s="26">
        <v>5868.0</v>
      </c>
      <c r="S14" s="12">
        <v>0.0</v>
      </c>
      <c r="T14" s="12">
        <v>694.0</v>
      </c>
      <c r="U14" s="12">
        <v>3000.0</v>
      </c>
      <c r="V14" s="12">
        <v>1063.0</v>
      </c>
      <c r="W14" s="12" t="s">
        <v>47</v>
      </c>
      <c r="X14" s="12" t="s">
        <v>47</v>
      </c>
      <c r="Y14" s="12" t="s">
        <v>47</v>
      </c>
      <c r="Z14" s="12" t="s">
        <v>47</v>
      </c>
      <c r="AA14" s="12">
        <v>594.0</v>
      </c>
      <c r="AB14" s="12">
        <v>495.0</v>
      </c>
      <c r="AC14" s="12">
        <v>15794.0</v>
      </c>
      <c r="AD14" s="12">
        <v>-5894.0</v>
      </c>
      <c r="AE14" s="13">
        <v>-0.5953535353535353</v>
      </c>
    </row>
    <row r="15">
      <c r="A15" s="11" t="s">
        <v>58</v>
      </c>
      <c r="B15" s="11" t="s">
        <v>46</v>
      </c>
      <c r="C15" s="11" t="s">
        <v>9</v>
      </c>
      <c r="D15" s="24">
        <v>9900.0</v>
      </c>
      <c r="E15" s="25">
        <v>1.0</v>
      </c>
      <c r="F15" s="12">
        <v>9900.0</v>
      </c>
      <c r="G15" s="11">
        <v>0.0</v>
      </c>
      <c r="H15" s="11">
        <v>8.0</v>
      </c>
      <c r="I15" s="11">
        <v>29.0</v>
      </c>
      <c r="J15" s="11">
        <v>23.0</v>
      </c>
      <c r="K15" s="11">
        <v>0.0</v>
      </c>
      <c r="L15" s="12">
        <v>0.0</v>
      </c>
      <c r="M15" s="12">
        <v>1012.0</v>
      </c>
      <c r="N15" s="12">
        <v>2060.0</v>
      </c>
      <c r="O15" s="12">
        <v>833.0</v>
      </c>
      <c r="P15" s="12">
        <v>250.0</v>
      </c>
      <c r="Q15" s="12">
        <v>0.0</v>
      </c>
      <c r="R15" s="26">
        <v>5770.0</v>
      </c>
      <c r="S15" s="12">
        <v>0.0</v>
      </c>
      <c r="T15" s="12">
        <v>694.0</v>
      </c>
      <c r="U15" s="12">
        <v>3000.0</v>
      </c>
      <c r="V15" s="12">
        <v>1068.0</v>
      </c>
      <c r="W15" s="12" t="s">
        <v>47</v>
      </c>
      <c r="X15" s="12" t="s">
        <v>47</v>
      </c>
      <c r="Y15" s="12" t="s">
        <v>47</v>
      </c>
      <c r="Z15" s="12" t="s">
        <v>47</v>
      </c>
      <c r="AA15" s="12">
        <v>594.0</v>
      </c>
      <c r="AB15" s="12">
        <v>495.0</v>
      </c>
      <c r="AC15" s="12">
        <v>15776.0</v>
      </c>
      <c r="AD15" s="12">
        <v>-5876.0</v>
      </c>
      <c r="AE15" s="13">
        <v>-0.5935353535353536</v>
      </c>
    </row>
    <row r="16">
      <c r="A16" s="11" t="s">
        <v>58</v>
      </c>
      <c r="B16" s="11" t="s">
        <v>48</v>
      </c>
      <c r="C16" s="11" t="s">
        <v>9</v>
      </c>
      <c r="D16" s="24">
        <v>9900.0</v>
      </c>
      <c r="E16" s="25">
        <v>1.0</v>
      </c>
      <c r="F16" s="12">
        <v>9900.0</v>
      </c>
      <c r="G16" s="11">
        <v>0.0</v>
      </c>
      <c r="H16" s="11">
        <v>7.0</v>
      </c>
      <c r="I16" s="11">
        <v>28.0</v>
      </c>
      <c r="J16" s="11">
        <v>6.0</v>
      </c>
      <c r="K16" s="11">
        <v>0.0</v>
      </c>
      <c r="L16" s="12">
        <v>0.0</v>
      </c>
      <c r="M16" s="12">
        <v>967.0</v>
      </c>
      <c r="N16" s="12">
        <v>1989.0</v>
      </c>
      <c r="O16" s="12">
        <v>833.0</v>
      </c>
      <c r="P16" s="12">
        <v>250.0</v>
      </c>
      <c r="Q16" s="12">
        <v>0.0</v>
      </c>
      <c r="R16" s="26">
        <v>5926.0</v>
      </c>
      <c r="S16" s="12">
        <v>0.0</v>
      </c>
      <c r="T16" s="12">
        <v>694.0</v>
      </c>
      <c r="U16" s="12">
        <v>3000.0</v>
      </c>
      <c r="V16" s="12">
        <v>1020.0</v>
      </c>
      <c r="W16" s="12" t="s">
        <v>47</v>
      </c>
      <c r="X16" s="12" t="s">
        <v>47</v>
      </c>
      <c r="Y16" s="12" t="s">
        <v>47</v>
      </c>
      <c r="Z16" s="12" t="s">
        <v>47</v>
      </c>
      <c r="AA16" s="12">
        <v>594.0</v>
      </c>
      <c r="AB16" s="12">
        <v>495.0</v>
      </c>
      <c r="AC16" s="12">
        <v>15768.0</v>
      </c>
      <c r="AD16" s="12">
        <v>-5868.0</v>
      </c>
      <c r="AE16" s="13">
        <v>-0.5927272727272728</v>
      </c>
    </row>
    <row r="17">
      <c r="A17" s="11" t="s">
        <v>58</v>
      </c>
      <c r="B17" s="11" t="s">
        <v>50</v>
      </c>
      <c r="C17" s="11" t="s">
        <v>9</v>
      </c>
      <c r="D17" s="24">
        <v>9900.0</v>
      </c>
      <c r="E17" s="25">
        <v>2.0</v>
      </c>
      <c r="F17" s="12">
        <v>19800.0</v>
      </c>
      <c r="G17" s="11">
        <v>0.0</v>
      </c>
      <c r="H17" s="11">
        <v>17.0</v>
      </c>
      <c r="I17" s="11">
        <v>59.0</v>
      </c>
      <c r="J17" s="11">
        <v>39.0</v>
      </c>
      <c r="K17" s="11">
        <v>0.0</v>
      </c>
      <c r="L17" s="12">
        <v>0.0</v>
      </c>
      <c r="M17" s="12">
        <v>1028.0</v>
      </c>
      <c r="N17" s="12">
        <v>3125.0</v>
      </c>
      <c r="O17" s="12">
        <v>833.0</v>
      </c>
      <c r="P17" s="12">
        <v>250.0</v>
      </c>
      <c r="Q17" s="12">
        <v>0.0</v>
      </c>
      <c r="R17" s="26">
        <v>6065.0</v>
      </c>
      <c r="S17" s="12">
        <v>0.0</v>
      </c>
      <c r="T17" s="12">
        <v>347.0</v>
      </c>
      <c r="U17" s="12">
        <v>1500.0</v>
      </c>
      <c r="V17" s="12">
        <v>1085.0</v>
      </c>
      <c r="W17" s="12" t="s">
        <v>47</v>
      </c>
      <c r="X17" s="12" t="s">
        <v>47</v>
      </c>
      <c r="Y17" s="12" t="s">
        <v>47</v>
      </c>
      <c r="Z17" s="12" t="s">
        <v>47</v>
      </c>
      <c r="AA17" s="12">
        <v>1188.0</v>
      </c>
      <c r="AB17" s="12">
        <v>990.0</v>
      </c>
      <c r="AC17" s="12">
        <v>16411.0</v>
      </c>
      <c r="AD17" s="12">
        <v>3389.0</v>
      </c>
      <c r="AE17" s="28">
        <v>0.17116161616161615</v>
      </c>
    </row>
    <row r="18">
      <c r="A18" s="11" t="s">
        <v>59</v>
      </c>
      <c r="B18" s="11" t="s">
        <v>48</v>
      </c>
      <c r="C18" s="11" t="s">
        <v>9</v>
      </c>
      <c r="D18" s="24">
        <v>9900.0</v>
      </c>
      <c r="E18" s="25">
        <v>2.0</v>
      </c>
      <c r="F18" s="12">
        <v>19800.0</v>
      </c>
      <c r="G18" s="11">
        <v>0.0</v>
      </c>
      <c r="H18" s="11">
        <v>16.0</v>
      </c>
      <c r="I18" s="11">
        <v>63.0</v>
      </c>
      <c r="J18" s="11">
        <v>54.0</v>
      </c>
      <c r="K18" s="11">
        <v>0.0</v>
      </c>
      <c r="L18" s="12">
        <v>0.0</v>
      </c>
      <c r="M18" s="12">
        <v>977.0</v>
      </c>
      <c r="N18" s="12">
        <v>3125.0</v>
      </c>
      <c r="O18" s="12">
        <v>833.0</v>
      </c>
      <c r="P18" s="12">
        <v>250.0</v>
      </c>
      <c r="Q18" s="12">
        <v>0.0</v>
      </c>
      <c r="R18" s="26">
        <v>6927.0</v>
      </c>
      <c r="S18" s="12">
        <v>0.0</v>
      </c>
      <c r="T18" s="12">
        <v>347.0</v>
      </c>
      <c r="U18" s="12">
        <v>1500.0</v>
      </c>
      <c r="V18" s="12">
        <v>1030.0</v>
      </c>
      <c r="W18" s="12" t="s">
        <v>47</v>
      </c>
      <c r="X18" s="12" t="s">
        <v>47</v>
      </c>
      <c r="Y18" s="12" t="s">
        <v>47</v>
      </c>
      <c r="Z18" s="12" t="s">
        <v>47</v>
      </c>
      <c r="AA18" s="12">
        <v>1188.0</v>
      </c>
      <c r="AB18" s="12">
        <v>990.0</v>
      </c>
      <c r="AC18" s="12">
        <v>17167.0</v>
      </c>
      <c r="AD18" s="12">
        <v>2633.0</v>
      </c>
      <c r="AE18" s="28">
        <v>0.13297979797979798</v>
      </c>
    </row>
    <row r="19">
      <c r="A19" s="11" t="s">
        <v>59</v>
      </c>
      <c r="B19" s="11" t="s">
        <v>50</v>
      </c>
      <c r="C19" s="11" t="s">
        <v>9</v>
      </c>
      <c r="D19" s="24">
        <v>9900.0</v>
      </c>
      <c r="E19" s="25">
        <v>1.0</v>
      </c>
      <c r="F19" s="12">
        <v>9900.0</v>
      </c>
      <c r="G19" s="11">
        <v>0.0</v>
      </c>
      <c r="H19" s="11">
        <v>8.0</v>
      </c>
      <c r="I19" s="11">
        <v>33.0</v>
      </c>
      <c r="J19" s="11">
        <v>6.0</v>
      </c>
      <c r="K19" s="11">
        <v>0.0</v>
      </c>
      <c r="L19" s="12">
        <v>0.0</v>
      </c>
      <c r="M19" s="12">
        <v>979.0</v>
      </c>
      <c r="N19" s="12">
        <v>2344.0</v>
      </c>
      <c r="O19" s="12">
        <v>833.0</v>
      </c>
      <c r="P19" s="12">
        <v>250.0</v>
      </c>
      <c r="Q19" s="12">
        <v>0.0</v>
      </c>
      <c r="R19" s="26">
        <v>5829.0</v>
      </c>
      <c r="S19" s="12">
        <v>0.0</v>
      </c>
      <c r="T19" s="12">
        <v>694.0</v>
      </c>
      <c r="U19" s="12">
        <v>3000.0</v>
      </c>
      <c r="V19" s="12">
        <v>1033.0</v>
      </c>
      <c r="W19" s="12" t="s">
        <v>47</v>
      </c>
      <c r="X19" s="12" t="s">
        <v>47</v>
      </c>
      <c r="Y19" s="12" t="s">
        <v>47</v>
      </c>
      <c r="Z19" s="12" t="s">
        <v>47</v>
      </c>
      <c r="AA19" s="12">
        <v>594.0</v>
      </c>
      <c r="AB19" s="12">
        <v>495.0</v>
      </c>
      <c r="AC19" s="12">
        <v>16051.0</v>
      </c>
      <c r="AD19" s="12">
        <v>-6151.0</v>
      </c>
      <c r="AE19" s="13">
        <v>-0.6213131313131313</v>
      </c>
    </row>
    <row r="20">
      <c r="A20" s="11" t="s">
        <v>60</v>
      </c>
      <c r="B20" s="11" t="s">
        <v>46</v>
      </c>
      <c r="C20" s="11" t="s">
        <v>9</v>
      </c>
      <c r="D20" s="24">
        <v>9900.0</v>
      </c>
      <c r="E20" s="25">
        <v>1.0</v>
      </c>
      <c r="F20" s="12">
        <v>9900.0</v>
      </c>
      <c r="G20" s="11">
        <v>0.0</v>
      </c>
      <c r="H20" s="11">
        <v>8.0</v>
      </c>
      <c r="I20" s="11">
        <v>29.0</v>
      </c>
      <c r="J20" s="11">
        <v>28.0</v>
      </c>
      <c r="K20" s="11">
        <v>0.0</v>
      </c>
      <c r="L20" s="12">
        <v>0.0</v>
      </c>
      <c r="M20" s="12">
        <v>1082.0</v>
      </c>
      <c r="N20" s="12">
        <v>2060.0</v>
      </c>
      <c r="O20" s="12">
        <v>833.0</v>
      </c>
      <c r="P20" s="12">
        <v>250.0</v>
      </c>
      <c r="Q20" s="12">
        <v>0.0</v>
      </c>
      <c r="R20" s="26">
        <v>5965.0</v>
      </c>
      <c r="S20" s="12">
        <v>0.0</v>
      </c>
      <c r="T20" s="12">
        <v>694.0</v>
      </c>
      <c r="U20" s="12">
        <v>3000.0</v>
      </c>
      <c r="V20" s="12">
        <v>1141.0</v>
      </c>
      <c r="W20" s="12" t="s">
        <v>47</v>
      </c>
      <c r="X20" s="12" t="s">
        <v>47</v>
      </c>
      <c r="Y20" s="12" t="s">
        <v>47</v>
      </c>
      <c r="Z20" s="12" t="s">
        <v>47</v>
      </c>
      <c r="AA20" s="12">
        <v>594.0</v>
      </c>
      <c r="AB20" s="12">
        <v>495.0</v>
      </c>
      <c r="AC20" s="12">
        <v>16114.0</v>
      </c>
      <c r="AD20" s="12">
        <v>-6214.0</v>
      </c>
      <c r="AE20" s="13">
        <v>-0.6276767676767677</v>
      </c>
    </row>
    <row r="21" ht="15.75" customHeight="1">
      <c r="A21" s="11" t="s">
        <v>60</v>
      </c>
      <c r="B21" s="11" t="s">
        <v>48</v>
      </c>
      <c r="C21" s="11" t="s">
        <v>9</v>
      </c>
      <c r="D21" s="24">
        <v>9900.0</v>
      </c>
      <c r="E21" s="25">
        <v>1.0</v>
      </c>
      <c r="F21" s="12">
        <v>9900.0</v>
      </c>
      <c r="G21" s="11">
        <v>0.0</v>
      </c>
      <c r="H21" s="11">
        <v>8.0</v>
      </c>
      <c r="I21" s="11">
        <v>28.0</v>
      </c>
      <c r="J21" s="11">
        <v>23.0</v>
      </c>
      <c r="K21" s="11">
        <v>0.0</v>
      </c>
      <c r="L21" s="12">
        <v>0.0</v>
      </c>
      <c r="M21" s="12">
        <v>1085.0</v>
      </c>
      <c r="N21" s="12">
        <v>1989.0</v>
      </c>
      <c r="O21" s="12">
        <v>833.0</v>
      </c>
      <c r="P21" s="12">
        <v>250.0</v>
      </c>
      <c r="Q21" s="12">
        <v>0.0</v>
      </c>
      <c r="R21" s="26">
        <v>5243.0</v>
      </c>
      <c r="S21" s="12">
        <v>0.0</v>
      </c>
      <c r="T21" s="12">
        <v>694.0</v>
      </c>
      <c r="U21" s="12">
        <v>3000.0</v>
      </c>
      <c r="V21" s="12">
        <v>1145.0</v>
      </c>
      <c r="W21" s="12" t="s">
        <v>47</v>
      </c>
      <c r="X21" s="12" t="s">
        <v>47</v>
      </c>
      <c r="Y21" s="12" t="s">
        <v>47</v>
      </c>
      <c r="Z21" s="12" t="s">
        <v>47</v>
      </c>
      <c r="AA21" s="12">
        <v>594.0</v>
      </c>
      <c r="AB21" s="12">
        <v>495.0</v>
      </c>
      <c r="AC21" s="12">
        <v>15328.0</v>
      </c>
      <c r="AD21" s="12">
        <v>-5428.0</v>
      </c>
      <c r="AE21" s="13">
        <v>-0.5482828282828283</v>
      </c>
    </row>
    <row r="22" ht="15.75" customHeight="1">
      <c r="A22" s="11" t="s">
        <v>60</v>
      </c>
      <c r="B22" s="11" t="s">
        <v>49</v>
      </c>
      <c r="C22" s="11" t="s">
        <v>9</v>
      </c>
      <c r="D22" s="24">
        <v>9900.0</v>
      </c>
      <c r="E22" s="25">
        <v>1.0</v>
      </c>
      <c r="F22" s="12">
        <v>9900.0</v>
      </c>
      <c r="G22" s="11">
        <v>0.0</v>
      </c>
      <c r="H22" s="11">
        <v>8.0</v>
      </c>
      <c r="I22" s="11">
        <v>31.0</v>
      </c>
      <c r="J22" s="11">
        <v>28.0</v>
      </c>
      <c r="K22" s="11">
        <v>0.0</v>
      </c>
      <c r="L22" s="12">
        <v>0.0</v>
      </c>
      <c r="M22" s="12">
        <v>972.0</v>
      </c>
      <c r="N22" s="12">
        <v>2202.0</v>
      </c>
      <c r="O22" s="12">
        <v>833.0</v>
      </c>
      <c r="P22" s="12">
        <v>250.0</v>
      </c>
      <c r="Q22" s="12">
        <v>0.0</v>
      </c>
      <c r="R22" s="26">
        <v>5929.0</v>
      </c>
      <c r="S22" s="12">
        <v>0.0</v>
      </c>
      <c r="T22" s="12">
        <v>694.0</v>
      </c>
      <c r="U22" s="12">
        <v>3000.0</v>
      </c>
      <c r="V22" s="12">
        <v>1025.0</v>
      </c>
      <c r="W22" s="12" t="s">
        <v>47</v>
      </c>
      <c r="X22" s="12" t="s">
        <v>47</v>
      </c>
      <c r="Y22" s="12" t="s">
        <v>47</v>
      </c>
      <c r="Z22" s="12" t="s">
        <v>47</v>
      </c>
      <c r="AA22" s="12">
        <v>594.0</v>
      </c>
      <c r="AB22" s="12">
        <v>495.0</v>
      </c>
      <c r="AC22" s="12">
        <v>15994.0</v>
      </c>
      <c r="AD22" s="12">
        <v>-6094.0</v>
      </c>
      <c r="AE22" s="13">
        <v>-0.6155555555555555</v>
      </c>
    </row>
    <row r="23" ht="15.75" customHeight="1">
      <c r="A23" s="11" t="s">
        <v>60</v>
      </c>
      <c r="B23" s="11" t="s">
        <v>50</v>
      </c>
      <c r="C23" s="11" t="s">
        <v>9</v>
      </c>
      <c r="D23" s="24">
        <v>9900.0</v>
      </c>
      <c r="E23" s="25">
        <v>1.0</v>
      </c>
      <c r="F23" s="12">
        <v>9900.0</v>
      </c>
      <c r="G23" s="11">
        <v>0.0</v>
      </c>
      <c r="H23" s="11">
        <v>9.0</v>
      </c>
      <c r="I23" s="11">
        <v>28.0</v>
      </c>
      <c r="J23" s="11">
        <v>25.0</v>
      </c>
      <c r="K23" s="11">
        <v>0.0</v>
      </c>
      <c r="L23" s="12">
        <v>0.0</v>
      </c>
      <c r="M23" s="12">
        <v>884.0</v>
      </c>
      <c r="N23" s="12">
        <v>1989.0</v>
      </c>
      <c r="O23" s="12">
        <v>833.0</v>
      </c>
      <c r="P23" s="12">
        <v>250.0</v>
      </c>
      <c r="Q23" s="12">
        <v>0.0</v>
      </c>
      <c r="R23" s="26">
        <v>5128.0</v>
      </c>
      <c r="S23" s="12">
        <v>0.0</v>
      </c>
      <c r="T23" s="12">
        <v>694.0</v>
      </c>
      <c r="U23" s="12">
        <v>3000.0</v>
      </c>
      <c r="V23" s="12">
        <v>932.0</v>
      </c>
      <c r="W23" s="12" t="s">
        <v>47</v>
      </c>
      <c r="X23" s="12" t="s">
        <v>47</v>
      </c>
      <c r="Y23" s="12" t="s">
        <v>47</v>
      </c>
      <c r="Z23" s="12" t="s">
        <v>47</v>
      </c>
      <c r="AA23" s="12">
        <v>594.0</v>
      </c>
      <c r="AB23" s="12">
        <v>495.0</v>
      </c>
      <c r="AC23" s="12">
        <v>14799.0</v>
      </c>
      <c r="AD23" s="12">
        <v>-4899.0</v>
      </c>
      <c r="AE23" s="13">
        <v>-0.49484848484848487</v>
      </c>
    </row>
    <row r="24" ht="15.75" customHeight="1">
      <c r="A24" s="11" t="s">
        <v>61</v>
      </c>
      <c r="B24" s="11" t="s">
        <v>46</v>
      </c>
      <c r="C24" s="11" t="s">
        <v>9</v>
      </c>
      <c r="D24" s="24">
        <v>9900.0</v>
      </c>
      <c r="E24" s="25">
        <v>1.0</v>
      </c>
      <c r="F24" s="12">
        <v>9900.0</v>
      </c>
      <c r="G24" s="11">
        <v>0.0</v>
      </c>
      <c r="H24" s="11">
        <v>8.0</v>
      </c>
      <c r="I24" s="11">
        <v>33.0</v>
      </c>
      <c r="J24" s="11">
        <v>9.0</v>
      </c>
      <c r="K24" s="11">
        <v>0.0</v>
      </c>
      <c r="L24" s="12">
        <v>0.0</v>
      </c>
      <c r="M24" s="12">
        <v>970.0</v>
      </c>
      <c r="N24" s="12">
        <v>2344.0</v>
      </c>
      <c r="O24" s="12">
        <v>833.0</v>
      </c>
      <c r="P24" s="12">
        <v>250.0</v>
      </c>
      <c r="Q24" s="12">
        <v>0.0</v>
      </c>
      <c r="R24" s="26">
        <v>5463.0</v>
      </c>
      <c r="S24" s="12">
        <v>0.0</v>
      </c>
      <c r="T24" s="12">
        <v>694.0</v>
      </c>
      <c r="U24" s="12">
        <v>3000.0</v>
      </c>
      <c r="V24" s="12">
        <v>1023.0</v>
      </c>
      <c r="W24" s="12" t="s">
        <v>47</v>
      </c>
      <c r="X24" s="12" t="s">
        <v>47</v>
      </c>
      <c r="Y24" s="12" t="s">
        <v>47</v>
      </c>
      <c r="Z24" s="12" t="s">
        <v>47</v>
      </c>
      <c r="AA24" s="12">
        <v>594.0</v>
      </c>
      <c r="AB24" s="12">
        <v>495.0</v>
      </c>
      <c r="AC24" s="12">
        <v>15666.0</v>
      </c>
      <c r="AD24" s="12">
        <v>-5766.0</v>
      </c>
      <c r="AE24" s="13">
        <v>-0.5824242424242424</v>
      </c>
    </row>
    <row r="25" ht="15.75" customHeight="1">
      <c r="A25" s="11" t="s">
        <v>61</v>
      </c>
      <c r="B25" s="11" t="s">
        <v>48</v>
      </c>
      <c r="C25" s="11" t="s">
        <v>9</v>
      </c>
      <c r="D25" s="24">
        <v>9900.0</v>
      </c>
      <c r="E25" s="25">
        <v>1.0</v>
      </c>
      <c r="F25" s="12">
        <v>9900.0</v>
      </c>
      <c r="G25" s="11">
        <v>0.0</v>
      </c>
      <c r="H25" s="11">
        <v>8.0</v>
      </c>
      <c r="I25" s="11">
        <v>32.0</v>
      </c>
      <c r="J25" s="11">
        <v>16.0</v>
      </c>
      <c r="K25" s="11">
        <v>0.0</v>
      </c>
      <c r="L25" s="12">
        <v>0.0</v>
      </c>
      <c r="M25" s="12">
        <v>918.0</v>
      </c>
      <c r="N25" s="12">
        <v>2273.0</v>
      </c>
      <c r="O25" s="12">
        <v>833.0</v>
      </c>
      <c r="P25" s="12">
        <v>250.0</v>
      </c>
      <c r="Q25" s="12">
        <v>0.0</v>
      </c>
      <c r="R25" s="26">
        <v>5558.0</v>
      </c>
      <c r="S25" s="12">
        <v>0.0</v>
      </c>
      <c r="T25" s="12">
        <v>694.0</v>
      </c>
      <c r="U25" s="12">
        <v>3000.0</v>
      </c>
      <c r="V25" s="12">
        <v>968.0</v>
      </c>
      <c r="W25" s="12" t="s">
        <v>47</v>
      </c>
      <c r="X25" s="12" t="s">
        <v>47</v>
      </c>
      <c r="Y25" s="12" t="s">
        <v>47</v>
      </c>
      <c r="Z25" s="12" t="s">
        <v>47</v>
      </c>
      <c r="AA25" s="12">
        <v>594.0</v>
      </c>
      <c r="AB25" s="12">
        <v>495.0</v>
      </c>
      <c r="AC25" s="12">
        <v>15583.0</v>
      </c>
      <c r="AD25" s="12">
        <v>-5683.0</v>
      </c>
      <c r="AE25" s="13">
        <v>-0.574040404040404</v>
      </c>
    </row>
    <row r="26" ht="15.75" customHeight="1">
      <c r="A26" s="11" t="s">
        <v>61</v>
      </c>
      <c r="B26" s="11" t="s">
        <v>49</v>
      </c>
      <c r="C26" s="11" t="s">
        <v>9</v>
      </c>
      <c r="D26" s="24">
        <v>9900.0</v>
      </c>
      <c r="E26" s="25">
        <v>1.0</v>
      </c>
      <c r="F26" s="12">
        <v>9900.0</v>
      </c>
      <c r="G26" s="11">
        <v>0.0</v>
      </c>
      <c r="H26" s="11">
        <v>7.0</v>
      </c>
      <c r="I26" s="11">
        <v>32.0</v>
      </c>
      <c r="J26" s="11">
        <v>17.0</v>
      </c>
      <c r="K26" s="11">
        <v>0.0</v>
      </c>
      <c r="L26" s="12">
        <v>0.0</v>
      </c>
      <c r="M26" s="12">
        <v>1016.0</v>
      </c>
      <c r="N26" s="12">
        <v>2273.0</v>
      </c>
      <c r="O26" s="12">
        <v>833.0</v>
      </c>
      <c r="P26" s="12">
        <v>250.0</v>
      </c>
      <c r="Q26" s="12">
        <v>0.0</v>
      </c>
      <c r="R26" s="26">
        <v>5990.0</v>
      </c>
      <c r="S26" s="12">
        <v>0.0</v>
      </c>
      <c r="T26" s="12">
        <v>694.0</v>
      </c>
      <c r="U26" s="12">
        <v>3000.0</v>
      </c>
      <c r="V26" s="12">
        <v>1072.0</v>
      </c>
      <c r="W26" s="12" t="s">
        <v>47</v>
      </c>
      <c r="X26" s="12" t="s">
        <v>47</v>
      </c>
      <c r="Y26" s="12" t="s">
        <v>47</v>
      </c>
      <c r="Z26" s="12" t="s">
        <v>47</v>
      </c>
      <c r="AA26" s="12">
        <v>594.0</v>
      </c>
      <c r="AB26" s="12">
        <v>495.0</v>
      </c>
      <c r="AC26" s="12">
        <v>16217.0</v>
      </c>
      <c r="AD26" s="12">
        <v>-6317.0</v>
      </c>
      <c r="AE26" s="13">
        <v>-0.638080808080808</v>
      </c>
    </row>
    <row r="27" ht="15.75" customHeight="1">
      <c r="A27" s="11" t="s">
        <v>61</v>
      </c>
      <c r="B27" s="11" t="s">
        <v>50</v>
      </c>
      <c r="C27" s="11" t="s">
        <v>9</v>
      </c>
      <c r="D27" s="24">
        <v>9900.0</v>
      </c>
      <c r="E27" s="25">
        <v>1.0</v>
      </c>
      <c r="F27" s="12">
        <v>9900.0</v>
      </c>
      <c r="G27" s="11">
        <v>0.0</v>
      </c>
      <c r="H27" s="11">
        <v>8.0</v>
      </c>
      <c r="I27" s="11">
        <v>32.0</v>
      </c>
      <c r="J27" s="11">
        <v>7.0</v>
      </c>
      <c r="K27" s="11">
        <v>0.0</v>
      </c>
      <c r="L27" s="12">
        <v>0.0</v>
      </c>
      <c r="M27" s="12">
        <v>1035.0</v>
      </c>
      <c r="N27" s="12">
        <v>2273.0</v>
      </c>
      <c r="O27" s="12">
        <v>833.0</v>
      </c>
      <c r="P27" s="12">
        <v>250.0</v>
      </c>
      <c r="Q27" s="12">
        <v>0.0</v>
      </c>
      <c r="R27" s="26">
        <v>5818.0</v>
      </c>
      <c r="S27" s="12">
        <v>0.0</v>
      </c>
      <c r="T27" s="12">
        <v>694.0</v>
      </c>
      <c r="U27" s="12">
        <v>3000.0</v>
      </c>
      <c r="V27" s="12">
        <v>1092.0</v>
      </c>
      <c r="W27" s="12" t="s">
        <v>47</v>
      </c>
      <c r="X27" s="12" t="s">
        <v>47</v>
      </c>
      <c r="Y27" s="12" t="s">
        <v>47</v>
      </c>
      <c r="Z27" s="12" t="s">
        <v>47</v>
      </c>
      <c r="AA27" s="12">
        <v>594.0</v>
      </c>
      <c r="AB27" s="12">
        <v>495.0</v>
      </c>
      <c r="AC27" s="12">
        <v>16084.0</v>
      </c>
      <c r="AD27" s="12">
        <v>-6184.0</v>
      </c>
      <c r="AE27" s="13">
        <v>-0.6246464646464647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8.0"/>
    <col customWidth="1" min="12" max="26" width="8.71"/>
  </cols>
  <sheetData>
    <row r="1">
      <c r="A1" s="4" t="s">
        <v>18</v>
      </c>
      <c r="B1" s="4" t="s">
        <v>19</v>
      </c>
      <c r="C1" s="4" t="s">
        <v>147</v>
      </c>
      <c r="D1" s="4" t="s">
        <v>148</v>
      </c>
      <c r="E1" s="4" t="s">
        <v>140</v>
      </c>
      <c r="F1" s="4" t="s">
        <v>142</v>
      </c>
      <c r="G1" s="4" t="s">
        <v>146</v>
      </c>
      <c r="H1" s="4" t="s">
        <v>149</v>
      </c>
      <c r="I1" s="4" t="s">
        <v>150</v>
      </c>
      <c r="J1" s="4" t="s">
        <v>151</v>
      </c>
      <c r="K1" s="4" t="s">
        <v>143</v>
      </c>
    </row>
    <row r="2">
      <c r="A2" s="5" t="s">
        <v>45</v>
      </c>
      <c r="B2" s="5" t="s">
        <v>48</v>
      </c>
      <c r="C2" s="5" t="s">
        <v>7</v>
      </c>
      <c r="D2" s="6">
        <v>40000.0</v>
      </c>
      <c r="E2" s="5">
        <v>4.0</v>
      </c>
      <c r="F2" s="5">
        <v>213.0</v>
      </c>
      <c r="G2" s="5">
        <v>0.0</v>
      </c>
      <c r="H2" s="6">
        <v>12538.0</v>
      </c>
      <c r="I2" s="6">
        <v>27462.0</v>
      </c>
      <c r="J2" s="7">
        <v>0.68655</v>
      </c>
      <c r="K2" s="5">
        <v>1.0</v>
      </c>
    </row>
    <row r="3">
      <c r="A3" s="5" t="s">
        <v>45</v>
      </c>
      <c r="B3" s="5" t="s">
        <v>46</v>
      </c>
      <c r="C3" s="5" t="s">
        <v>7</v>
      </c>
      <c r="D3" s="6">
        <v>21600.0</v>
      </c>
      <c r="E3" s="5">
        <v>4.0</v>
      </c>
      <c r="F3" s="5">
        <v>193.0</v>
      </c>
      <c r="G3" s="5">
        <v>0.0</v>
      </c>
      <c r="H3" s="6">
        <v>10233.0</v>
      </c>
      <c r="I3" s="6">
        <v>11367.0</v>
      </c>
      <c r="J3" s="7">
        <v>0.52625</v>
      </c>
      <c r="K3" s="5">
        <v>1.0</v>
      </c>
    </row>
    <row r="4">
      <c r="A4" s="5" t="s">
        <v>45</v>
      </c>
      <c r="B4" s="5" t="s">
        <v>50</v>
      </c>
      <c r="C4" s="5" t="s">
        <v>7</v>
      </c>
      <c r="D4" s="6">
        <v>32000.0</v>
      </c>
      <c r="E4" s="5">
        <v>4.0</v>
      </c>
      <c r="F4" s="5">
        <v>197.0</v>
      </c>
      <c r="G4" s="5">
        <v>0.0</v>
      </c>
      <c r="H4" s="6">
        <v>12347.0</v>
      </c>
      <c r="I4" s="6">
        <v>19653.0</v>
      </c>
      <c r="J4" s="7">
        <v>0.61415625</v>
      </c>
      <c r="K4" s="5">
        <v>1.0</v>
      </c>
    </row>
    <row r="5">
      <c r="A5" s="5" t="s">
        <v>45</v>
      </c>
      <c r="B5" s="5" t="s">
        <v>49</v>
      </c>
      <c r="C5" s="5" t="s">
        <v>7</v>
      </c>
      <c r="D5" s="6">
        <v>40000.0</v>
      </c>
      <c r="E5" s="5">
        <v>4.0</v>
      </c>
      <c r="F5" s="5">
        <v>192.0</v>
      </c>
      <c r="G5" s="5">
        <v>0.0</v>
      </c>
      <c r="H5" s="6">
        <v>12247.0</v>
      </c>
      <c r="I5" s="6">
        <v>27753.0</v>
      </c>
      <c r="J5" s="7">
        <v>0.693825</v>
      </c>
      <c r="K5" s="5">
        <v>1.0</v>
      </c>
    </row>
    <row r="6">
      <c r="A6" s="5" t="s">
        <v>51</v>
      </c>
      <c r="B6" s="5" t="s">
        <v>48</v>
      </c>
      <c r="C6" s="5" t="s">
        <v>7</v>
      </c>
      <c r="D6" s="6">
        <v>18000.0</v>
      </c>
      <c r="E6" s="5">
        <v>4.0</v>
      </c>
      <c r="F6" s="5">
        <v>207.0</v>
      </c>
      <c r="G6" s="5">
        <v>0.0</v>
      </c>
      <c r="H6" s="6">
        <v>10378.0</v>
      </c>
      <c r="I6" s="6">
        <v>7622.0</v>
      </c>
      <c r="J6" s="7">
        <v>0.423444444444445</v>
      </c>
      <c r="K6" s="5">
        <v>2.0</v>
      </c>
    </row>
    <row r="7">
      <c r="A7" s="5" t="s">
        <v>51</v>
      </c>
      <c r="B7" s="5" t="s">
        <v>46</v>
      </c>
      <c r="C7" s="5" t="s">
        <v>7</v>
      </c>
      <c r="D7" s="6">
        <v>32000.0</v>
      </c>
      <c r="E7" s="5">
        <v>4.0</v>
      </c>
      <c r="F7" s="5">
        <v>205.0</v>
      </c>
      <c r="G7" s="5">
        <v>0.0</v>
      </c>
      <c r="H7" s="6">
        <v>11567.0</v>
      </c>
      <c r="I7" s="6">
        <v>20433.0</v>
      </c>
      <c r="J7" s="7">
        <v>0.63853125</v>
      </c>
      <c r="K7" s="5">
        <v>2.0</v>
      </c>
    </row>
    <row r="8">
      <c r="A8" s="5" t="s">
        <v>51</v>
      </c>
      <c r="B8" s="5" t="s">
        <v>50</v>
      </c>
      <c r="C8" s="5" t="s">
        <v>7</v>
      </c>
      <c r="D8" s="6">
        <v>18000.0</v>
      </c>
      <c r="E8" s="5">
        <v>4.0</v>
      </c>
      <c r="F8" s="5">
        <v>210.0</v>
      </c>
      <c r="G8" s="5">
        <v>0.0</v>
      </c>
      <c r="H8" s="6">
        <v>9283.0</v>
      </c>
      <c r="I8" s="6">
        <v>8717.0</v>
      </c>
      <c r="J8" s="7">
        <v>0.484277777777778</v>
      </c>
      <c r="K8" s="5">
        <v>2.0</v>
      </c>
    </row>
    <row r="9">
      <c r="A9" s="5" t="s">
        <v>51</v>
      </c>
      <c r="B9" s="5" t="s">
        <v>49</v>
      </c>
      <c r="C9" s="5" t="s">
        <v>7</v>
      </c>
      <c r="D9" s="6">
        <v>12000.0</v>
      </c>
      <c r="E9" s="5">
        <v>4.0</v>
      </c>
      <c r="F9" s="5">
        <v>213.0</v>
      </c>
      <c r="G9" s="5">
        <v>0.0</v>
      </c>
      <c r="H9" s="6">
        <v>9732.0</v>
      </c>
      <c r="I9" s="6">
        <v>2268.0</v>
      </c>
      <c r="J9" s="7">
        <v>0.189</v>
      </c>
      <c r="K9" s="5">
        <v>2.0</v>
      </c>
    </row>
    <row r="10">
      <c r="A10" s="5" t="s">
        <v>52</v>
      </c>
      <c r="B10" s="5" t="s">
        <v>48</v>
      </c>
      <c r="C10" s="5" t="s">
        <v>7</v>
      </c>
      <c r="D10" s="6">
        <v>18000.0</v>
      </c>
      <c r="E10" s="5">
        <v>4.0</v>
      </c>
      <c r="F10" s="5">
        <v>187.0</v>
      </c>
      <c r="G10" s="5">
        <v>0.0</v>
      </c>
      <c r="H10" s="6">
        <v>9619.0</v>
      </c>
      <c r="I10" s="6">
        <v>8381.0</v>
      </c>
      <c r="J10" s="7">
        <v>0.465611111111111</v>
      </c>
      <c r="K10" s="5">
        <v>3.0</v>
      </c>
    </row>
    <row r="11">
      <c r="A11" s="5" t="s">
        <v>52</v>
      </c>
      <c r="B11" s="5" t="s">
        <v>46</v>
      </c>
      <c r="C11" s="5" t="s">
        <v>7</v>
      </c>
      <c r="D11" s="6">
        <v>22500.0</v>
      </c>
      <c r="E11" s="5">
        <v>5.0</v>
      </c>
      <c r="F11" s="5">
        <v>221.0</v>
      </c>
      <c r="G11" s="5">
        <v>0.0</v>
      </c>
      <c r="H11" s="6">
        <v>10089.0</v>
      </c>
      <c r="I11" s="6">
        <v>12411.0</v>
      </c>
      <c r="J11" s="7">
        <v>0.5516</v>
      </c>
      <c r="K11" s="5">
        <v>3.0</v>
      </c>
    </row>
    <row r="12">
      <c r="A12" s="5" t="s">
        <v>52</v>
      </c>
      <c r="B12" s="5" t="s">
        <v>50</v>
      </c>
      <c r="C12" s="5" t="s">
        <v>7</v>
      </c>
      <c r="D12" s="6">
        <v>12000.0</v>
      </c>
      <c r="E12" s="5">
        <v>4.0</v>
      </c>
      <c r="F12" s="5">
        <v>211.0</v>
      </c>
      <c r="G12" s="5">
        <v>0.0</v>
      </c>
      <c r="H12" s="6">
        <v>9911.0</v>
      </c>
      <c r="I12" s="6">
        <v>2089.0</v>
      </c>
      <c r="J12" s="7">
        <v>0.174083333333333</v>
      </c>
      <c r="K12" s="5">
        <v>3.0</v>
      </c>
    </row>
    <row r="13">
      <c r="A13" s="5" t="s">
        <v>52</v>
      </c>
      <c r="B13" s="5" t="s">
        <v>49</v>
      </c>
      <c r="C13" s="5" t="s">
        <v>7</v>
      </c>
      <c r="D13" s="6">
        <v>27000.0</v>
      </c>
      <c r="E13" s="5">
        <v>5.0</v>
      </c>
      <c r="F13" s="5">
        <v>229.0</v>
      </c>
      <c r="G13" s="5">
        <v>0.0</v>
      </c>
      <c r="H13" s="6">
        <v>11343.0</v>
      </c>
      <c r="I13" s="6">
        <v>15657.0</v>
      </c>
      <c r="J13" s="7">
        <v>0.579888888888889</v>
      </c>
      <c r="K13" s="5">
        <v>3.0</v>
      </c>
    </row>
    <row r="14">
      <c r="A14" s="5" t="s">
        <v>53</v>
      </c>
      <c r="B14" s="5" t="s">
        <v>48</v>
      </c>
      <c r="C14" s="5" t="s">
        <v>7</v>
      </c>
      <c r="D14" s="6">
        <v>21600.0</v>
      </c>
      <c r="E14" s="5">
        <v>4.0</v>
      </c>
      <c r="F14" s="5">
        <v>202.0</v>
      </c>
      <c r="G14" s="5">
        <v>0.0</v>
      </c>
      <c r="H14" s="6">
        <v>9588.0</v>
      </c>
      <c r="I14" s="6">
        <v>12012.0</v>
      </c>
      <c r="J14" s="7">
        <v>0.556111111111111</v>
      </c>
      <c r="K14" s="5">
        <v>4.0</v>
      </c>
    </row>
    <row r="15">
      <c r="A15" s="5" t="s">
        <v>53</v>
      </c>
      <c r="B15" s="5" t="s">
        <v>46</v>
      </c>
      <c r="C15" s="5" t="s">
        <v>7</v>
      </c>
      <c r="D15" s="6">
        <v>21600.0</v>
      </c>
      <c r="E15" s="5">
        <v>4.0</v>
      </c>
      <c r="F15" s="5">
        <v>200.0</v>
      </c>
      <c r="G15" s="5">
        <v>0.0</v>
      </c>
      <c r="H15" s="6">
        <v>11679.0</v>
      </c>
      <c r="I15" s="6">
        <v>9921.0</v>
      </c>
      <c r="J15" s="7">
        <v>0.459305555555556</v>
      </c>
      <c r="K15" s="5">
        <v>4.0</v>
      </c>
    </row>
    <row r="16">
      <c r="A16" s="5" t="s">
        <v>53</v>
      </c>
      <c r="B16" s="5" t="s">
        <v>50</v>
      </c>
      <c r="C16" s="5" t="s">
        <v>7</v>
      </c>
      <c r="D16" s="6">
        <v>40000.0</v>
      </c>
      <c r="E16" s="5">
        <v>4.0</v>
      </c>
      <c r="F16" s="5">
        <v>215.0</v>
      </c>
      <c r="G16" s="5">
        <v>0.0</v>
      </c>
      <c r="H16" s="6">
        <v>13829.0</v>
      </c>
      <c r="I16" s="6">
        <v>26171.0</v>
      </c>
      <c r="J16" s="7">
        <v>0.654275</v>
      </c>
      <c r="K16" s="5">
        <v>4.0</v>
      </c>
    </row>
    <row r="17">
      <c r="A17" s="5" t="s">
        <v>53</v>
      </c>
      <c r="B17" s="5" t="s">
        <v>49</v>
      </c>
      <c r="C17" s="5" t="s">
        <v>7</v>
      </c>
      <c r="D17" s="6">
        <v>40000.0</v>
      </c>
      <c r="E17" s="5">
        <v>4.0</v>
      </c>
      <c r="F17" s="5">
        <v>192.0</v>
      </c>
      <c r="G17" s="5">
        <v>0.0</v>
      </c>
      <c r="H17" s="6">
        <v>12658.0</v>
      </c>
      <c r="I17" s="6">
        <v>27342.0</v>
      </c>
      <c r="J17" s="7">
        <v>0.68355</v>
      </c>
      <c r="K17" s="5">
        <v>4.0</v>
      </c>
    </row>
    <row r="18">
      <c r="A18" s="5" t="s">
        <v>54</v>
      </c>
      <c r="B18" s="5" t="s">
        <v>48</v>
      </c>
      <c r="C18" s="5" t="s">
        <v>7</v>
      </c>
      <c r="D18" s="6">
        <v>32000.0</v>
      </c>
      <c r="E18" s="5">
        <v>4.0</v>
      </c>
      <c r="F18" s="5">
        <v>205.0</v>
      </c>
      <c r="G18" s="5">
        <v>0.0</v>
      </c>
      <c r="H18" s="6">
        <v>11354.0</v>
      </c>
      <c r="I18" s="6">
        <v>20646.0</v>
      </c>
      <c r="J18" s="7">
        <v>0.6451875</v>
      </c>
      <c r="K18" s="5">
        <v>5.0</v>
      </c>
    </row>
    <row r="19">
      <c r="A19" s="5" t="s">
        <v>54</v>
      </c>
      <c r="B19" s="5" t="s">
        <v>46</v>
      </c>
      <c r="C19" s="5" t="s">
        <v>7</v>
      </c>
      <c r="D19" s="6">
        <v>12000.0</v>
      </c>
      <c r="E19" s="5">
        <v>4.0</v>
      </c>
      <c r="F19" s="5">
        <v>202.0</v>
      </c>
      <c r="G19" s="5">
        <v>0.0</v>
      </c>
      <c r="H19" s="6">
        <v>8998.0</v>
      </c>
      <c r="I19" s="6">
        <v>3002.0</v>
      </c>
      <c r="J19" s="7">
        <v>0.250166666666667</v>
      </c>
      <c r="K19" s="5">
        <v>5.0</v>
      </c>
    </row>
    <row r="20">
      <c r="A20" s="5" t="s">
        <v>54</v>
      </c>
      <c r="B20" s="5" t="s">
        <v>50</v>
      </c>
      <c r="C20" s="5" t="s">
        <v>7</v>
      </c>
      <c r="D20" s="6">
        <v>40000.0</v>
      </c>
      <c r="E20" s="5">
        <v>4.0</v>
      </c>
      <c r="F20" s="5">
        <v>202.0</v>
      </c>
      <c r="G20" s="5">
        <v>0.0</v>
      </c>
      <c r="H20" s="6">
        <v>12424.0</v>
      </c>
      <c r="I20" s="6">
        <v>27576.0</v>
      </c>
      <c r="J20" s="7">
        <v>0.6894</v>
      </c>
      <c r="K20" s="5">
        <v>5.0</v>
      </c>
    </row>
    <row r="21" ht="15.75" customHeight="1">
      <c r="A21" s="5" t="s">
        <v>54</v>
      </c>
      <c r="B21" s="5" t="s">
        <v>49</v>
      </c>
      <c r="C21" s="5" t="s">
        <v>7</v>
      </c>
      <c r="D21" s="6">
        <v>32000.0</v>
      </c>
      <c r="E21" s="5">
        <v>4.0</v>
      </c>
      <c r="F21" s="5">
        <v>200.0</v>
      </c>
      <c r="G21" s="5">
        <v>0.0</v>
      </c>
      <c r="H21" s="6">
        <v>12813.0</v>
      </c>
      <c r="I21" s="6">
        <v>19187.0</v>
      </c>
      <c r="J21" s="7">
        <v>0.59959375</v>
      </c>
      <c r="K21" s="5">
        <v>5.0</v>
      </c>
    </row>
    <row r="22" ht="15.75" customHeight="1">
      <c r="A22" s="5" t="s">
        <v>55</v>
      </c>
      <c r="B22" s="5" t="s">
        <v>48</v>
      </c>
      <c r="C22" s="5" t="s">
        <v>7</v>
      </c>
      <c r="D22" s="6">
        <v>21600.0</v>
      </c>
      <c r="E22" s="5">
        <v>4.0</v>
      </c>
      <c r="F22" s="5">
        <v>207.0</v>
      </c>
      <c r="G22" s="5">
        <v>0.0</v>
      </c>
      <c r="H22" s="6">
        <v>11446.0</v>
      </c>
      <c r="I22" s="6">
        <v>10154.0</v>
      </c>
      <c r="J22" s="7">
        <v>0.470092592592593</v>
      </c>
      <c r="K22" s="5">
        <v>6.0</v>
      </c>
    </row>
    <row r="23" ht="15.75" customHeight="1">
      <c r="A23" s="5" t="s">
        <v>55</v>
      </c>
      <c r="B23" s="5" t="s">
        <v>46</v>
      </c>
      <c r="C23" s="5" t="s">
        <v>7</v>
      </c>
      <c r="D23" s="6">
        <v>12000.0</v>
      </c>
      <c r="E23" s="5">
        <v>4.0</v>
      </c>
      <c r="F23" s="5">
        <v>186.0</v>
      </c>
      <c r="G23" s="5">
        <v>0.0</v>
      </c>
      <c r="H23" s="6">
        <v>8967.0</v>
      </c>
      <c r="I23" s="6">
        <v>3033.0</v>
      </c>
      <c r="J23" s="7">
        <v>0.25275</v>
      </c>
      <c r="K23" s="5">
        <v>6.0</v>
      </c>
    </row>
    <row r="24" ht="15.75" customHeight="1">
      <c r="A24" s="5" t="s">
        <v>55</v>
      </c>
      <c r="B24" s="5" t="s">
        <v>50</v>
      </c>
      <c r="C24" s="5" t="s">
        <v>7</v>
      </c>
      <c r="D24" s="6">
        <v>32000.0</v>
      </c>
      <c r="E24" s="5">
        <v>4.0</v>
      </c>
      <c r="F24" s="5">
        <v>206.0</v>
      </c>
      <c r="G24" s="5">
        <v>0.0</v>
      </c>
      <c r="H24" s="6">
        <v>12230.0</v>
      </c>
      <c r="I24" s="6">
        <v>19770.0</v>
      </c>
      <c r="J24" s="7">
        <v>0.6178125</v>
      </c>
      <c r="K24" s="5">
        <v>6.0</v>
      </c>
    </row>
    <row r="25" ht="15.75" customHeight="1">
      <c r="A25" s="5" t="s">
        <v>55</v>
      </c>
      <c r="B25" s="5" t="s">
        <v>49</v>
      </c>
      <c r="C25" s="5" t="s">
        <v>7</v>
      </c>
      <c r="D25" s="6">
        <v>18000.0</v>
      </c>
      <c r="E25" s="5">
        <v>4.0</v>
      </c>
      <c r="F25" s="5">
        <v>196.0</v>
      </c>
      <c r="G25" s="5">
        <v>0.0</v>
      </c>
      <c r="H25" s="6">
        <v>10411.0</v>
      </c>
      <c r="I25" s="6">
        <v>7589.0</v>
      </c>
      <c r="J25" s="7">
        <v>0.421611111111111</v>
      </c>
      <c r="K25" s="5">
        <v>6.0</v>
      </c>
    </row>
    <row r="26" ht="15.75" customHeight="1">
      <c r="A26" s="5" t="s">
        <v>56</v>
      </c>
      <c r="B26" s="5" t="s">
        <v>48</v>
      </c>
      <c r="C26" s="5" t="s">
        <v>7</v>
      </c>
      <c r="D26" s="6">
        <v>32000.0</v>
      </c>
      <c r="E26" s="5">
        <v>4.0</v>
      </c>
      <c r="F26" s="5">
        <v>194.0</v>
      </c>
      <c r="G26" s="5">
        <v>0.0</v>
      </c>
      <c r="H26" s="6">
        <v>11216.0</v>
      </c>
      <c r="I26" s="6">
        <v>20784.0</v>
      </c>
      <c r="J26" s="7">
        <v>0.6495</v>
      </c>
      <c r="K26" s="5">
        <v>7.0</v>
      </c>
    </row>
    <row r="27" ht="15.75" customHeight="1">
      <c r="A27" s="5" t="s">
        <v>56</v>
      </c>
      <c r="B27" s="5" t="s">
        <v>46</v>
      </c>
      <c r="C27" s="5" t="s">
        <v>7</v>
      </c>
      <c r="D27" s="6">
        <v>22500.0</v>
      </c>
      <c r="E27" s="5">
        <v>5.0</v>
      </c>
      <c r="F27" s="5">
        <v>225.0</v>
      </c>
      <c r="G27" s="5">
        <v>0.0</v>
      </c>
      <c r="H27" s="6">
        <v>10947.0</v>
      </c>
      <c r="I27" s="6">
        <v>11553.0</v>
      </c>
      <c r="J27" s="7">
        <v>0.513466666666667</v>
      </c>
      <c r="K27" s="5">
        <v>7.0</v>
      </c>
    </row>
    <row r="28" ht="15.75" customHeight="1">
      <c r="A28" s="5" t="s">
        <v>56</v>
      </c>
      <c r="B28" s="5" t="s">
        <v>50</v>
      </c>
      <c r="C28" s="5" t="s">
        <v>7</v>
      </c>
      <c r="D28" s="6">
        <v>18000.0</v>
      </c>
      <c r="E28" s="5">
        <v>4.0</v>
      </c>
      <c r="F28" s="5">
        <v>215.0</v>
      </c>
      <c r="G28" s="5">
        <v>0.0</v>
      </c>
      <c r="H28" s="6">
        <v>10871.0</v>
      </c>
      <c r="I28" s="6">
        <v>7129.0</v>
      </c>
      <c r="J28" s="7">
        <v>0.396055555555556</v>
      </c>
      <c r="K28" s="5">
        <v>7.0</v>
      </c>
    </row>
    <row r="29" ht="15.75" customHeight="1">
      <c r="A29" s="5" t="s">
        <v>56</v>
      </c>
      <c r="B29" s="5" t="s">
        <v>49</v>
      </c>
      <c r="C29" s="5" t="s">
        <v>7</v>
      </c>
      <c r="D29" s="6">
        <v>40000.0</v>
      </c>
      <c r="E29" s="5">
        <v>4.0</v>
      </c>
      <c r="F29" s="5">
        <v>212.0</v>
      </c>
      <c r="G29" s="5">
        <v>0.0</v>
      </c>
      <c r="H29" s="6">
        <v>14183.0</v>
      </c>
      <c r="I29" s="6">
        <v>25817.0</v>
      </c>
      <c r="J29" s="7">
        <v>0.645425</v>
      </c>
      <c r="K29" s="5">
        <v>7.0</v>
      </c>
    </row>
    <row r="30" ht="15.75" customHeight="1">
      <c r="A30" s="5" t="s">
        <v>57</v>
      </c>
      <c r="B30" s="5" t="s">
        <v>48</v>
      </c>
      <c r="C30" s="5" t="s">
        <v>7</v>
      </c>
      <c r="D30" s="6">
        <v>32000.0</v>
      </c>
      <c r="E30" s="5">
        <v>4.0</v>
      </c>
      <c r="F30" s="5">
        <v>201.0</v>
      </c>
      <c r="G30" s="5">
        <v>0.0</v>
      </c>
      <c r="H30" s="6">
        <v>12889.0</v>
      </c>
      <c r="I30" s="6">
        <v>19111.0</v>
      </c>
      <c r="J30" s="7">
        <v>0.59721875</v>
      </c>
      <c r="K30" s="5">
        <v>8.0</v>
      </c>
    </row>
    <row r="31" ht="15.75" customHeight="1">
      <c r="A31" s="5" t="s">
        <v>57</v>
      </c>
      <c r="B31" s="5" t="s">
        <v>46</v>
      </c>
      <c r="C31" s="5" t="s">
        <v>7</v>
      </c>
      <c r="D31" s="6">
        <v>40000.0</v>
      </c>
      <c r="E31" s="5">
        <v>5.0</v>
      </c>
      <c r="F31" s="5">
        <v>230.0</v>
      </c>
      <c r="G31" s="5">
        <v>0.0</v>
      </c>
      <c r="H31" s="6">
        <v>13084.0</v>
      </c>
      <c r="I31" s="6">
        <v>26916.0</v>
      </c>
      <c r="J31" s="7">
        <v>0.6729</v>
      </c>
      <c r="K31" s="5">
        <v>8.0</v>
      </c>
    </row>
    <row r="32" ht="15.75" customHeight="1">
      <c r="A32" s="5" t="s">
        <v>57</v>
      </c>
      <c r="B32" s="5" t="s">
        <v>50</v>
      </c>
      <c r="C32" s="5" t="s">
        <v>7</v>
      </c>
      <c r="D32" s="6">
        <v>27000.0</v>
      </c>
      <c r="E32" s="5">
        <v>5.0</v>
      </c>
      <c r="F32" s="5">
        <v>230.0</v>
      </c>
      <c r="G32" s="5">
        <v>0.0</v>
      </c>
      <c r="H32" s="6">
        <v>11649.0</v>
      </c>
      <c r="I32" s="6">
        <v>15351.0</v>
      </c>
      <c r="J32" s="7">
        <v>0.568555555555556</v>
      </c>
      <c r="K32" s="5">
        <v>8.0</v>
      </c>
    </row>
    <row r="33" ht="15.75" customHeight="1">
      <c r="A33" s="5" t="s">
        <v>57</v>
      </c>
      <c r="B33" s="5" t="s">
        <v>49</v>
      </c>
      <c r="C33" s="5" t="s">
        <v>7</v>
      </c>
      <c r="D33" s="6">
        <v>32000.0</v>
      </c>
      <c r="E33" s="5">
        <v>4.0</v>
      </c>
      <c r="F33" s="5">
        <v>210.0</v>
      </c>
      <c r="G33" s="5">
        <v>0.0</v>
      </c>
      <c r="H33" s="6">
        <v>11357.0</v>
      </c>
      <c r="I33" s="6">
        <v>20643.0</v>
      </c>
      <c r="J33" s="7">
        <v>0.64509375</v>
      </c>
      <c r="K33" s="5">
        <v>8.0</v>
      </c>
    </row>
    <row r="34" ht="15.75" customHeight="1">
      <c r="A34" s="5" t="s">
        <v>58</v>
      </c>
      <c r="B34" s="5" t="s">
        <v>48</v>
      </c>
      <c r="C34" s="5" t="s">
        <v>7</v>
      </c>
      <c r="D34" s="6">
        <v>12000.0</v>
      </c>
      <c r="E34" s="5">
        <v>4.0</v>
      </c>
      <c r="F34" s="5">
        <v>208.0</v>
      </c>
      <c r="G34" s="5">
        <v>0.0</v>
      </c>
      <c r="H34" s="6">
        <v>9721.0</v>
      </c>
      <c r="I34" s="6">
        <v>2279.0</v>
      </c>
      <c r="J34" s="7">
        <v>0.189916666666667</v>
      </c>
      <c r="K34" s="5">
        <v>9.0</v>
      </c>
    </row>
    <row r="35" ht="15.75" customHeight="1">
      <c r="A35" s="5" t="s">
        <v>58</v>
      </c>
      <c r="B35" s="5" t="s">
        <v>46</v>
      </c>
      <c r="C35" s="5" t="s">
        <v>7</v>
      </c>
      <c r="D35" s="6">
        <v>18000.0</v>
      </c>
      <c r="E35" s="5">
        <v>4.0</v>
      </c>
      <c r="F35" s="5">
        <v>196.0</v>
      </c>
      <c r="G35" s="5">
        <v>0.0</v>
      </c>
      <c r="H35" s="6">
        <v>10213.0</v>
      </c>
      <c r="I35" s="6">
        <v>7787.0</v>
      </c>
      <c r="J35" s="7">
        <v>0.432611111111111</v>
      </c>
      <c r="K35" s="5">
        <v>9.0</v>
      </c>
    </row>
    <row r="36" ht="15.75" customHeight="1">
      <c r="A36" s="5" t="s">
        <v>58</v>
      </c>
      <c r="B36" s="5" t="s">
        <v>50</v>
      </c>
      <c r="C36" s="5" t="s">
        <v>7</v>
      </c>
      <c r="D36" s="6">
        <v>27000.0</v>
      </c>
      <c r="E36" s="5">
        <v>5.0</v>
      </c>
      <c r="F36" s="5">
        <v>223.0</v>
      </c>
      <c r="G36" s="5">
        <v>0.0</v>
      </c>
      <c r="H36" s="6">
        <v>11312.0</v>
      </c>
      <c r="I36" s="6">
        <v>15688.0</v>
      </c>
      <c r="J36" s="7">
        <v>0.581037037037037</v>
      </c>
      <c r="K36" s="5">
        <v>9.0</v>
      </c>
    </row>
    <row r="37" ht="15.75" customHeight="1">
      <c r="A37" s="5" t="s">
        <v>58</v>
      </c>
      <c r="B37" s="5" t="s">
        <v>49</v>
      </c>
      <c r="C37" s="5" t="s">
        <v>7</v>
      </c>
      <c r="D37" s="6">
        <v>21600.0</v>
      </c>
      <c r="E37" s="5">
        <v>4.0</v>
      </c>
      <c r="F37" s="5">
        <v>204.0</v>
      </c>
      <c r="G37" s="5">
        <v>0.0</v>
      </c>
      <c r="H37" s="6">
        <v>11063.0</v>
      </c>
      <c r="I37" s="6">
        <v>10537.0</v>
      </c>
      <c r="J37" s="7">
        <v>0.487824074074074</v>
      </c>
      <c r="K37" s="5">
        <v>9.0</v>
      </c>
    </row>
    <row r="38" ht="15.75" customHeight="1">
      <c r="A38" s="5" t="s">
        <v>59</v>
      </c>
      <c r="B38" s="5" t="s">
        <v>48</v>
      </c>
      <c r="C38" s="5" t="s">
        <v>7</v>
      </c>
      <c r="D38" s="6">
        <v>50000.0</v>
      </c>
      <c r="E38" s="5">
        <v>5.0</v>
      </c>
      <c r="F38" s="5">
        <v>222.0</v>
      </c>
      <c r="G38" s="5">
        <v>0.0</v>
      </c>
      <c r="H38" s="6">
        <v>14066.0</v>
      </c>
      <c r="I38" s="6">
        <v>35934.0</v>
      </c>
      <c r="J38" s="7">
        <v>0.71868</v>
      </c>
      <c r="K38" s="5">
        <v>10.0</v>
      </c>
    </row>
    <row r="39" ht="15.75" customHeight="1">
      <c r="A39" s="5" t="s">
        <v>59</v>
      </c>
      <c r="B39" s="5" t="s">
        <v>46</v>
      </c>
      <c r="C39" s="5" t="s">
        <v>7</v>
      </c>
      <c r="D39" s="6">
        <v>40000.0</v>
      </c>
      <c r="E39" s="5">
        <v>5.0</v>
      </c>
      <c r="F39" s="5">
        <v>222.0</v>
      </c>
      <c r="G39" s="5">
        <v>0.0</v>
      </c>
      <c r="H39" s="6">
        <v>11921.0</v>
      </c>
      <c r="I39" s="6">
        <v>28079.0</v>
      </c>
      <c r="J39" s="7">
        <v>0.701975</v>
      </c>
      <c r="K39" s="5">
        <v>10.0</v>
      </c>
    </row>
    <row r="40" ht="15.75" customHeight="1">
      <c r="A40" s="5" t="s">
        <v>59</v>
      </c>
      <c r="B40" s="5" t="s">
        <v>50</v>
      </c>
      <c r="C40" s="5" t="s">
        <v>7</v>
      </c>
      <c r="D40" s="6">
        <v>32000.0</v>
      </c>
      <c r="E40" s="5">
        <v>4.0</v>
      </c>
      <c r="F40" s="5">
        <v>192.0</v>
      </c>
      <c r="G40" s="5">
        <v>0.0</v>
      </c>
      <c r="H40" s="6">
        <v>12432.0</v>
      </c>
      <c r="I40" s="6">
        <v>19568.0</v>
      </c>
      <c r="J40" s="7">
        <v>0.6115</v>
      </c>
      <c r="K40" s="5">
        <v>10.0</v>
      </c>
    </row>
    <row r="41" ht="15.75" customHeight="1">
      <c r="A41" s="5" t="s">
        <v>59</v>
      </c>
      <c r="B41" s="5" t="s">
        <v>49</v>
      </c>
      <c r="C41" s="5" t="s">
        <v>7</v>
      </c>
      <c r="D41" s="6">
        <v>40000.0</v>
      </c>
      <c r="E41" s="5">
        <v>4.0</v>
      </c>
      <c r="F41" s="5">
        <v>194.0</v>
      </c>
      <c r="G41" s="5">
        <v>0.0</v>
      </c>
      <c r="H41" s="6">
        <v>13092.0</v>
      </c>
      <c r="I41" s="6">
        <v>26908.0</v>
      </c>
      <c r="J41" s="7">
        <v>0.6727</v>
      </c>
      <c r="K41" s="5">
        <v>10.0</v>
      </c>
    </row>
    <row r="42" ht="15.75" customHeight="1">
      <c r="A42" s="5" t="s">
        <v>60</v>
      </c>
      <c r="B42" s="5" t="s">
        <v>48</v>
      </c>
      <c r="C42" s="5" t="s">
        <v>7</v>
      </c>
      <c r="D42" s="6">
        <v>40000.0</v>
      </c>
      <c r="E42" s="5">
        <v>5.0</v>
      </c>
      <c r="F42" s="5">
        <v>226.0</v>
      </c>
      <c r="G42" s="5">
        <v>0.0</v>
      </c>
      <c r="H42" s="6">
        <v>12701.0</v>
      </c>
      <c r="I42" s="6">
        <v>27299.0</v>
      </c>
      <c r="J42" s="7">
        <v>0.682475</v>
      </c>
      <c r="K42" s="5">
        <v>11.0</v>
      </c>
    </row>
    <row r="43" ht="15.75" customHeight="1">
      <c r="A43" s="5" t="s">
        <v>60</v>
      </c>
      <c r="B43" s="5" t="s">
        <v>46</v>
      </c>
      <c r="C43" s="5" t="s">
        <v>7</v>
      </c>
      <c r="D43" s="6">
        <v>32000.0</v>
      </c>
      <c r="E43" s="5">
        <v>4.0</v>
      </c>
      <c r="F43" s="5">
        <v>208.0</v>
      </c>
      <c r="G43" s="5">
        <v>0.0</v>
      </c>
      <c r="H43" s="6">
        <v>11581.0</v>
      </c>
      <c r="I43" s="6">
        <v>20419.0</v>
      </c>
      <c r="J43" s="7">
        <v>0.63809375</v>
      </c>
      <c r="K43" s="5">
        <v>11.0</v>
      </c>
    </row>
    <row r="44" ht="15.75" customHeight="1">
      <c r="A44" s="5" t="s">
        <v>60</v>
      </c>
      <c r="B44" s="5" t="s">
        <v>50</v>
      </c>
      <c r="C44" s="5" t="s">
        <v>7</v>
      </c>
      <c r="D44" s="6">
        <v>22500.0</v>
      </c>
      <c r="E44" s="5">
        <v>5.0</v>
      </c>
      <c r="F44" s="5">
        <v>231.0</v>
      </c>
      <c r="G44" s="5">
        <v>0.0</v>
      </c>
      <c r="H44" s="6">
        <v>11125.0</v>
      </c>
      <c r="I44" s="6">
        <v>11375.0</v>
      </c>
      <c r="J44" s="7">
        <v>0.505555555555556</v>
      </c>
      <c r="K44" s="5">
        <v>11.0</v>
      </c>
    </row>
    <row r="45" ht="15.75" customHeight="1">
      <c r="A45" s="5" t="s">
        <v>60</v>
      </c>
      <c r="B45" s="5" t="s">
        <v>49</v>
      </c>
      <c r="C45" s="5" t="s">
        <v>7</v>
      </c>
      <c r="D45" s="6">
        <v>21600.0</v>
      </c>
      <c r="E45" s="5">
        <v>4.0</v>
      </c>
      <c r="F45" s="5">
        <v>212.0</v>
      </c>
      <c r="G45" s="5">
        <v>0.0</v>
      </c>
      <c r="H45" s="6">
        <v>10644.0</v>
      </c>
      <c r="I45" s="6">
        <v>10956.0</v>
      </c>
      <c r="J45" s="7">
        <v>0.507222222222222</v>
      </c>
      <c r="K45" s="5">
        <v>11.0</v>
      </c>
    </row>
    <row r="46" ht="15.75" customHeight="1">
      <c r="A46" s="5" t="s">
        <v>61</v>
      </c>
      <c r="B46" s="5" t="s">
        <v>48</v>
      </c>
      <c r="C46" s="5" t="s">
        <v>7</v>
      </c>
      <c r="D46" s="6">
        <v>27000.0</v>
      </c>
      <c r="E46" s="5">
        <v>5.0</v>
      </c>
      <c r="F46" s="5">
        <v>222.0</v>
      </c>
      <c r="G46" s="5">
        <v>0.0</v>
      </c>
      <c r="H46" s="6">
        <v>12009.0</v>
      </c>
      <c r="I46" s="6">
        <v>14991.0</v>
      </c>
      <c r="J46" s="7">
        <v>0.555222222222222</v>
      </c>
      <c r="K46" s="5">
        <v>12.0</v>
      </c>
    </row>
    <row r="47" ht="15.75" customHeight="1">
      <c r="A47" s="5" t="s">
        <v>61</v>
      </c>
      <c r="B47" s="5" t="s">
        <v>46</v>
      </c>
      <c r="C47" s="5" t="s">
        <v>7</v>
      </c>
      <c r="D47" s="6">
        <v>22500.0</v>
      </c>
      <c r="E47" s="5">
        <v>5.0</v>
      </c>
      <c r="F47" s="5">
        <v>227.0</v>
      </c>
      <c r="G47" s="5">
        <v>0.0</v>
      </c>
      <c r="H47" s="6">
        <v>12389.0</v>
      </c>
      <c r="I47" s="6">
        <v>10111.0</v>
      </c>
      <c r="J47" s="7">
        <v>0.449377777777778</v>
      </c>
      <c r="K47" s="5">
        <v>12.0</v>
      </c>
    </row>
    <row r="48" ht="15.75" customHeight="1">
      <c r="A48" s="5" t="s">
        <v>61</v>
      </c>
      <c r="B48" s="5" t="s">
        <v>50</v>
      </c>
      <c r="C48" s="5" t="s">
        <v>7</v>
      </c>
      <c r="D48" s="6">
        <v>18000.0</v>
      </c>
      <c r="E48" s="5">
        <v>4.0</v>
      </c>
      <c r="F48" s="5">
        <v>204.0</v>
      </c>
      <c r="G48" s="5">
        <v>0.0</v>
      </c>
      <c r="H48" s="6">
        <v>10257.0</v>
      </c>
      <c r="I48" s="6">
        <v>7743.0</v>
      </c>
      <c r="J48" s="7">
        <v>0.430166666666667</v>
      </c>
      <c r="K48" s="5">
        <v>12.0</v>
      </c>
    </row>
    <row r="49" ht="15.75" customHeight="1">
      <c r="A49" s="5" t="s">
        <v>61</v>
      </c>
      <c r="B49" s="5" t="s">
        <v>49</v>
      </c>
      <c r="C49" s="5" t="s">
        <v>7</v>
      </c>
      <c r="D49" s="6">
        <v>40000.0</v>
      </c>
      <c r="E49" s="5">
        <v>5.0</v>
      </c>
      <c r="F49" s="5">
        <v>223.0</v>
      </c>
      <c r="G49" s="5">
        <v>0.0</v>
      </c>
      <c r="H49" s="6">
        <v>13582.0</v>
      </c>
      <c r="I49" s="6">
        <v>26418.0</v>
      </c>
      <c r="J49" s="7">
        <v>0.66045</v>
      </c>
      <c r="K49" s="5">
        <v>12.0</v>
      </c>
    </row>
    <row r="50" ht="15.75" customHeight="1">
      <c r="A50" s="8" t="s">
        <v>45</v>
      </c>
      <c r="B50" s="8" t="s">
        <v>48</v>
      </c>
      <c r="C50" s="8" t="s">
        <v>8</v>
      </c>
      <c r="D50" s="9">
        <v>103500.0</v>
      </c>
      <c r="E50" s="8">
        <v>1.0</v>
      </c>
      <c r="F50" s="8">
        <v>113.0</v>
      </c>
      <c r="G50" s="8">
        <v>31.0</v>
      </c>
      <c r="H50" s="9">
        <v>40170.0</v>
      </c>
      <c r="I50" s="9">
        <v>63330.0</v>
      </c>
      <c r="J50" s="10">
        <v>0.611884057971015</v>
      </c>
      <c r="K50" s="8">
        <v>1.0</v>
      </c>
    </row>
    <row r="51" ht="15.75" customHeight="1">
      <c r="A51" s="8" t="s">
        <v>45</v>
      </c>
      <c r="B51" s="8" t="s">
        <v>46</v>
      </c>
      <c r="C51" s="8" t="s">
        <v>8</v>
      </c>
      <c r="D51" s="9">
        <v>69000.0</v>
      </c>
      <c r="E51" s="8">
        <v>1.0</v>
      </c>
      <c r="F51" s="8">
        <v>118.0</v>
      </c>
      <c r="G51" s="8">
        <v>17.0</v>
      </c>
      <c r="H51" s="9">
        <v>32679.0</v>
      </c>
      <c r="I51" s="9">
        <v>36321.0</v>
      </c>
      <c r="J51" s="10">
        <v>0.526391304347826</v>
      </c>
      <c r="K51" s="8">
        <v>1.0</v>
      </c>
    </row>
    <row r="52" ht="15.75" customHeight="1">
      <c r="A52" s="8" t="s">
        <v>45</v>
      </c>
      <c r="B52" s="8" t="s">
        <v>50</v>
      </c>
      <c r="C52" s="8" t="s">
        <v>8</v>
      </c>
      <c r="D52" s="9">
        <v>69000.0</v>
      </c>
      <c r="E52" s="8">
        <v>1.0</v>
      </c>
      <c r="F52" s="8">
        <v>100.0</v>
      </c>
      <c r="G52" s="8">
        <v>17.0</v>
      </c>
      <c r="H52" s="9">
        <v>31294.0</v>
      </c>
      <c r="I52" s="9">
        <v>37706.0</v>
      </c>
      <c r="J52" s="10">
        <v>0.546463768115942</v>
      </c>
      <c r="K52" s="8">
        <v>1.0</v>
      </c>
    </row>
    <row r="53" ht="15.75" customHeight="1">
      <c r="A53" s="8" t="s">
        <v>45</v>
      </c>
      <c r="B53" s="8" t="s">
        <v>49</v>
      </c>
      <c r="C53" s="8" t="s">
        <v>8</v>
      </c>
      <c r="D53" s="9">
        <v>34500.0</v>
      </c>
      <c r="E53" s="8">
        <v>1.0</v>
      </c>
      <c r="F53" s="8">
        <v>112.0</v>
      </c>
      <c r="G53" s="8">
        <v>9.0</v>
      </c>
      <c r="H53" s="9">
        <v>25091.0</v>
      </c>
      <c r="I53" s="9">
        <v>9409.0</v>
      </c>
      <c r="J53" s="10">
        <v>0.272724637681159</v>
      </c>
      <c r="K53" s="8">
        <v>1.0</v>
      </c>
    </row>
    <row r="54" ht="15.75" customHeight="1">
      <c r="A54" s="8" t="s">
        <v>51</v>
      </c>
      <c r="B54" s="8" t="s">
        <v>48</v>
      </c>
      <c r="C54" s="8" t="s">
        <v>8</v>
      </c>
      <c r="D54" s="9">
        <v>69000.0</v>
      </c>
      <c r="E54" s="8">
        <v>1.0</v>
      </c>
      <c r="F54" s="8">
        <v>113.0</v>
      </c>
      <c r="G54" s="8">
        <v>18.0</v>
      </c>
      <c r="H54" s="9">
        <v>31894.0</v>
      </c>
      <c r="I54" s="9">
        <v>37106.0</v>
      </c>
      <c r="J54" s="10">
        <v>0.537768115942029</v>
      </c>
      <c r="K54" s="8">
        <v>2.0</v>
      </c>
    </row>
    <row r="55" ht="15.75" customHeight="1">
      <c r="A55" s="8" t="s">
        <v>51</v>
      </c>
      <c r="B55" s="8" t="s">
        <v>46</v>
      </c>
      <c r="C55" s="8" t="s">
        <v>8</v>
      </c>
      <c r="D55" s="9">
        <v>34500.0</v>
      </c>
      <c r="E55" s="8">
        <v>1.0</v>
      </c>
      <c r="F55" s="8">
        <v>113.0</v>
      </c>
      <c r="G55" s="8">
        <v>8.0</v>
      </c>
      <c r="H55" s="9">
        <v>25246.0</v>
      </c>
      <c r="I55" s="9">
        <v>9254.0</v>
      </c>
      <c r="J55" s="10">
        <v>0.268231884057971</v>
      </c>
      <c r="K55" s="8">
        <v>2.0</v>
      </c>
    </row>
    <row r="56" ht="15.75" customHeight="1">
      <c r="A56" s="8" t="s">
        <v>51</v>
      </c>
      <c r="B56" s="8" t="s">
        <v>50</v>
      </c>
      <c r="C56" s="8" t="s">
        <v>8</v>
      </c>
      <c r="D56" s="9">
        <v>103500.0</v>
      </c>
      <c r="E56" s="8">
        <v>1.0</v>
      </c>
      <c r="F56" s="8">
        <v>109.0</v>
      </c>
      <c r="G56" s="8">
        <v>35.0</v>
      </c>
      <c r="H56" s="9">
        <v>40806.0</v>
      </c>
      <c r="I56" s="9">
        <v>62694.0</v>
      </c>
      <c r="J56" s="10">
        <v>0.605739130434783</v>
      </c>
      <c r="K56" s="8">
        <v>2.0</v>
      </c>
    </row>
    <row r="57" ht="15.75" customHeight="1">
      <c r="A57" s="8" t="s">
        <v>51</v>
      </c>
      <c r="B57" s="8" t="s">
        <v>49</v>
      </c>
      <c r="C57" s="8" t="s">
        <v>8</v>
      </c>
      <c r="D57" s="9">
        <v>103500.0</v>
      </c>
      <c r="E57" s="8">
        <v>1.0</v>
      </c>
      <c r="F57" s="8">
        <v>99.0</v>
      </c>
      <c r="G57" s="8">
        <v>31.0</v>
      </c>
      <c r="H57" s="9">
        <v>39162.0</v>
      </c>
      <c r="I57" s="9">
        <v>64338.0</v>
      </c>
      <c r="J57" s="10">
        <v>0.621623188405797</v>
      </c>
      <c r="K57" s="8">
        <v>2.0</v>
      </c>
    </row>
    <row r="58" ht="15.75" customHeight="1">
      <c r="A58" s="8" t="s">
        <v>52</v>
      </c>
      <c r="B58" s="8" t="s">
        <v>48</v>
      </c>
      <c r="C58" s="8" t="s">
        <v>8</v>
      </c>
      <c r="D58" s="9">
        <v>69000.0</v>
      </c>
      <c r="E58" s="8">
        <v>1.0</v>
      </c>
      <c r="F58" s="8">
        <v>109.0</v>
      </c>
      <c r="G58" s="8">
        <v>16.0</v>
      </c>
      <c r="H58" s="9">
        <v>31823.0</v>
      </c>
      <c r="I58" s="9">
        <v>37177.0</v>
      </c>
      <c r="J58" s="10">
        <v>0.538797101449275</v>
      </c>
      <c r="K58" s="8">
        <v>3.0</v>
      </c>
    </row>
    <row r="59" ht="15.75" customHeight="1">
      <c r="A59" s="8" t="s">
        <v>52</v>
      </c>
      <c r="B59" s="8" t="s">
        <v>46</v>
      </c>
      <c r="C59" s="8" t="s">
        <v>8</v>
      </c>
      <c r="D59" s="9">
        <v>34500.0</v>
      </c>
      <c r="E59" s="8">
        <v>1.0</v>
      </c>
      <c r="F59" s="8">
        <v>106.0</v>
      </c>
      <c r="G59" s="8">
        <v>12.0</v>
      </c>
      <c r="H59" s="9">
        <v>26239.0</v>
      </c>
      <c r="I59" s="9">
        <v>8261.0</v>
      </c>
      <c r="J59" s="10">
        <v>0.239449275362319</v>
      </c>
      <c r="K59" s="8">
        <v>3.0</v>
      </c>
    </row>
    <row r="60" ht="15.75" customHeight="1">
      <c r="A60" s="8" t="s">
        <v>52</v>
      </c>
      <c r="B60" s="8" t="s">
        <v>50</v>
      </c>
      <c r="C60" s="8" t="s">
        <v>8</v>
      </c>
      <c r="D60" s="9">
        <v>69000.0</v>
      </c>
      <c r="E60" s="8">
        <v>1.0</v>
      </c>
      <c r="F60" s="8">
        <v>102.0</v>
      </c>
      <c r="G60" s="8">
        <v>15.0</v>
      </c>
      <c r="H60" s="9">
        <v>31155.0</v>
      </c>
      <c r="I60" s="9">
        <v>37845.0</v>
      </c>
      <c r="J60" s="10">
        <v>0.548478260869565</v>
      </c>
      <c r="K60" s="8">
        <v>3.0</v>
      </c>
    </row>
    <row r="61" ht="15.75" customHeight="1">
      <c r="A61" s="8" t="s">
        <v>52</v>
      </c>
      <c r="B61" s="8" t="s">
        <v>49</v>
      </c>
      <c r="C61" s="8" t="s">
        <v>8</v>
      </c>
      <c r="D61" s="9">
        <v>34500.0</v>
      </c>
      <c r="E61" s="8">
        <v>1.0</v>
      </c>
      <c r="F61" s="8">
        <v>94.0</v>
      </c>
      <c r="G61" s="8">
        <v>8.0</v>
      </c>
      <c r="H61" s="9">
        <v>24411.0</v>
      </c>
      <c r="I61" s="9">
        <v>10089.0</v>
      </c>
      <c r="J61" s="10">
        <v>0.292434782608696</v>
      </c>
      <c r="K61" s="8">
        <v>3.0</v>
      </c>
    </row>
    <row r="62" ht="15.75" customHeight="1">
      <c r="A62" s="8" t="s">
        <v>53</v>
      </c>
      <c r="B62" s="8" t="s">
        <v>48</v>
      </c>
      <c r="C62" s="8" t="s">
        <v>8</v>
      </c>
      <c r="D62" s="9">
        <v>69000.0</v>
      </c>
      <c r="E62" s="8">
        <v>1.0</v>
      </c>
      <c r="F62" s="8">
        <v>108.0</v>
      </c>
      <c r="G62" s="8">
        <v>16.0</v>
      </c>
      <c r="H62" s="9">
        <v>31655.0</v>
      </c>
      <c r="I62" s="9">
        <v>37345.0</v>
      </c>
      <c r="J62" s="10">
        <v>0.541231884057971</v>
      </c>
      <c r="K62" s="8">
        <v>4.0</v>
      </c>
    </row>
    <row r="63" ht="15.75" customHeight="1">
      <c r="A63" s="8" t="s">
        <v>53</v>
      </c>
      <c r="B63" s="8" t="s">
        <v>46</v>
      </c>
      <c r="C63" s="8" t="s">
        <v>8</v>
      </c>
      <c r="D63" s="9">
        <v>34500.0</v>
      </c>
      <c r="E63" s="8">
        <v>1.0</v>
      </c>
      <c r="F63" s="8">
        <v>105.0</v>
      </c>
      <c r="G63" s="8">
        <v>9.0</v>
      </c>
      <c r="H63" s="9">
        <v>24986.0</v>
      </c>
      <c r="I63" s="9">
        <v>9514.0</v>
      </c>
      <c r="J63" s="10">
        <v>0.275768115942029</v>
      </c>
      <c r="K63" s="8">
        <v>4.0</v>
      </c>
    </row>
    <row r="64" ht="15.75" customHeight="1">
      <c r="A64" s="8" t="s">
        <v>53</v>
      </c>
      <c r="B64" s="8" t="s">
        <v>50</v>
      </c>
      <c r="C64" s="8" t="s">
        <v>8</v>
      </c>
      <c r="D64" s="9">
        <v>34500.0</v>
      </c>
      <c r="E64" s="8">
        <v>1.0</v>
      </c>
      <c r="F64" s="8">
        <v>109.0</v>
      </c>
      <c r="G64" s="8">
        <v>11.0</v>
      </c>
      <c r="H64" s="9">
        <v>25625.0</v>
      </c>
      <c r="I64" s="9">
        <v>8875.0</v>
      </c>
      <c r="J64" s="10">
        <v>0.257246376811594</v>
      </c>
      <c r="K64" s="8">
        <v>4.0</v>
      </c>
    </row>
    <row r="65" ht="15.75" customHeight="1">
      <c r="A65" s="8" t="s">
        <v>53</v>
      </c>
      <c r="B65" s="8" t="s">
        <v>49</v>
      </c>
      <c r="C65" s="8" t="s">
        <v>8</v>
      </c>
      <c r="D65" s="9">
        <v>103500.0</v>
      </c>
      <c r="E65" s="8">
        <v>1.0</v>
      </c>
      <c r="F65" s="8">
        <v>112.0</v>
      </c>
      <c r="G65" s="8">
        <v>31.0</v>
      </c>
      <c r="H65" s="9">
        <v>39677.0</v>
      </c>
      <c r="I65" s="9">
        <v>63823.0</v>
      </c>
      <c r="J65" s="10">
        <v>0.616647342995169</v>
      </c>
      <c r="K65" s="8">
        <v>4.0</v>
      </c>
    </row>
    <row r="66" ht="15.75" customHeight="1">
      <c r="A66" s="8" t="s">
        <v>54</v>
      </c>
      <c r="B66" s="8" t="s">
        <v>48</v>
      </c>
      <c r="C66" s="8" t="s">
        <v>8</v>
      </c>
      <c r="D66" s="9">
        <v>103500.0</v>
      </c>
      <c r="E66" s="8">
        <v>1.0</v>
      </c>
      <c r="F66" s="8">
        <v>104.0</v>
      </c>
      <c r="G66" s="8">
        <v>27.0</v>
      </c>
      <c r="H66" s="9">
        <v>38743.0</v>
      </c>
      <c r="I66" s="9">
        <v>64757.0</v>
      </c>
      <c r="J66" s="10">
        <v>0.625671497584541</v>
      </c>
      <c r="K66" s="8">
        <v>5.0</v>
      </c>
    </row>
    <row r="67" ht="15.75" customHeight="1">
      <c r="A67" s="8" t="s">
        <v>54</v>
      </c>
      <c r="B67" s="8" t="s">
        <v>46</v>
      </c>
      <c r="C67" s="8" t="s">
        <v>8</v>
      </c>
      <c r="D67" s="9">
        <v>34500.0</v>
      </c>
      <c r="E67" s="8">
        <v>1.0</v>
      </c>
      <c r="F67" s="8">
        <v>117.0</v>
      </c>
      <c r="G67" s="8">
        <v>12.0</v>
      </c>
      <c r="H67" s="9">
        <v>26558.0</v>
      </c>
      <c r="I67" s="9">
        <v>7942.0</v>
      </c>
      <c r="J67" s="10">
        <v>0.230202898550725</v>
      </c>
      <c r="K67" s="8">
        <v>5.0</v>
      </c>
    </row>
    <row r="68" ht="15.75" customHeight="1">
      <c r="A68" s="8" t="s">
        <v>54</v>
      </c>
      <c r="B68" s="8" t="s">
        <v>50</v>
      </c>
      <c r="C68" s="8" t="s">
        <v>8</v>
      </c>
      <c r="D68" s="9">
        <v>103500.0</v>
      </c>
      <c r="E68" s="8">
        <v>1.0</v>
      </c>
      <c r="F68" s="8">
        <v>107.0</v>
      </c>
      <c r="G68" s="8">
        <v>28.0</v>
      </c>
      <c r="H68" s="9">
        <v>39129.0</v>
      </c>
      <c r="I68" s="9">
        <v>64371.0</v>
      </c>
      <c r="J68" s="10">
        <v>0.621942028985507</v>
      </c>
      <c r="K68" s="8">
        <v>5.0</v>
      </c>
    </row>
    <row r="69" ht="15.75" customHeight="1">
      <c r="A69" s="8" t="s">
        <v>54</v>
      </c>
      <c r="B69" s="8" t="s">
        <v>49</v>
      </c>
      <c r="C69" s="8" t="s">
        <v>8</v>
      </c>
      <c r="D69" s="9">
        <v>69000.0</v>
      </c>
      <c r="E69" s="8">
        <v>1.0</v>
      </c>
      <c r="F69" s="8">
        <v>102.0</v>
      </c>
      <c r="G69" s="8">
        <v>19.0</v>
      </c>
      <c r="H69" s="9">
        <v>31631.0</v>
      </c>
      <c r="I69" s="9">
        <v>37369.0</v>
      </c>
      <c r="J69" s="10">
        <v>0.541579710144928</v>
      </c>
      <c r="K69" s="8">
        <v>5.0</v>
      </c>
    </row>
    <row r="70" ht="15.75" customHeight="1">
      <c r="A70" s="8" t="s">
        <v>55</v>
      </c>
      <c r="B70" s="8" t="s">
        <v>48</v>
      </c>
      <c r="C70" s="8" t="s">
        <v>8</v>
      </c>
      <c r="D70" s="9">
        <v>69000.0</v>
      </c>
      <c r="E70" s="8">
        <v>1.0</v>
      </c>
      <c r="F70" s="8">
        <v>102.0</v>
      </c>
      <c r="G70" s="8">
        <v>18.0</v>
      </c>
      <c r="H70" s="9">
        <v>31212.0</v>
      </c>
      <c r="I70" s="9">
        <v>37788.0</v>
      </c>
      <c r="J70" s="10">
        <v>0.547652173913043</v>
      </c>
      <c r="K70" s="8">
        <v>6.0</v>
      </c>
    </row>
    <row r="71" ht="15.75" customHeight="1">
      <c r="A71" s="8" t="s">
        <v>55</v>
      </c>
      <c r="B71" s="8" t="s">
        <v>46</v>
      </c>
      <c r="C71" s="8" t="s">
        <v>8</v>
      </c>
      <c r="D71" s="9">
        <v>69000.0</v>
      </c>
      <c r="E71" s="8">
        <v>1.0</v>
      </c>
      <c r="F71" s="8">
        <v>118.0</v>
      </c>
      <c r="G71" s="8">
        <v>19.0</v>
      </c>
      <c r="H71" s="9">
        <v>32789.0</v>
      </c>
      <c r="I71" s="9">
        <v>36211.0</v>
      </c>
      <c r="J71" s="10">
        <v>0.524797101449275</v>
      </c>
      <c r="K71" s="8">
        <v>6.0</v>
      </c>
    </row>
    <row r="72" ht="15.75" customHeight="1">
      <c r="A72" s="8" t="s">
        <v>55</v>
      </c>
      <c r="B72" s="8" t="s">
        <v>50</v>
      </c>
      <c r="C72" s="8" t="s">
        <v>8</v>
      </c>
      <c r="D72" s="9">
        <v>69000.0</v>
      </c>
      <c r="E72" s="8">
        <v>1.0</v>
      </c>
      <c r="F72" s="8">
        <v>109.0</v>
      </c>
      <c r="G72" s="8">
        <v>19.0</v>
      </c>
      <c r="H72" s="9">
        <v>32449.0</v>
      </c>
      <c r="I72" s="9">
        <v>36551.0</v>
      </c>
      <c r="J72" s="10">
        <v>0.529724637681159</v>
      </c>
      <c r="K72" s="8">
        <v>6.0</v>
      </c>
    </row>
    <row r="73" ht="15.75" customHeight="1">
      <c r="A73" s="8" t="s">
        <v>55</v>
      </c>
      <c r="B73" s="8" t="s">
        <v>49</v>
      </c>
      <c r="C73" s="8" t="s">
        <v>8</v>
      </c>
      <c r="D73" s="9">
        <v>34500.0</v>
      </c>
      <c r="E73" s="8">
        <v>1.0</v>
      </c>
      <c r="F73" s="8">
        <v>115.0</v>
      </c>
      <c r="G73" s="8">
        <v>12.0</v>
      </c>
      <c r="H73" s="9">
        <v>26137.0</v>
      </c>
      <c r="I73" s="9">
        <v>8363.0</v>
      </c>
      <c r="J73" s="10">
        <v>0.242405797101449</v>
      </c>
      <c r="K73" s="8">
        <v>6.0</v>
      </c>
    </row>
    <row r="74" ht="15.75" customHeight="1">
      <c r="A74" s="8" t="s">
        <v>56</v>
      </c>
      <c r="B74" s="8" t="s">
        <v>48</v>
      </c>
      <c r="C74" s="8" t="s">
        <v>8</v>
      </c>
      <c r="D74" s="9">
        <v>34500.0</v>
      </c>
      <c r="E74" s="8">
        <v>1.0</v>
      </c>
      <c r="F74" s="8">
        <v>106.0</v>
      </c>
      <c r="G74" s="8">
        <v>11.0</v>
      </c>
      <c r="H74" s="9">
        <v>25356.0</v>
      </c>
      <c r="I74" s="9">
        <v>9144.0</v>
      </c>
      <c r="J74" s="10">
        <v>0.26504347826087</v>
      </c>
      <c r="K74" s="8">
        <v>7.0</v>
      </c>
    </row>
    <row r="75" ht="15.75" customHeight="1">
      <c r="A75" s="8" t="s">
        <v>56</v>
      </c>
      <c r="B75" s="8" t="s">
        <v>46</v>
      </c>
      <c r="C75" s="8" t="s">
        <v>8</v>
      </c>
      <c r="D75" s="9">
        <v>34500.0</v>
      </c>
      <c r="E75" s="8">
        <v>1.0</v>
      </c>
      <c r="F75" s="8">
        <v>97.0</v>
      </c>
      <c r="G75" s="8">
        <v>11.0</v>
      </c>
      <c r="H75" s="9">
        <v>25693.0</v>
      </c>
      <c r="I75" s="9">
        <v>8807.0</v>
      </c>
      <c r="J75" s="10">
        <v>0.255275362318841</v>
      </c>
      <c r="K75" s="8">
        <v>7.0</v>
      </c>
    </row>
    <row r="76" ht="15.75" customHeight="1">
      <c r="A76" s="8" t="s">
        <v>56</v>
      </c>
      <c r="B76" s="8" t="s">
        <v>50</v>
      </c>
      <c r="C76" s="8" t="s">
        <v>8</v>
      </c>
      <c r="D76" s="9">
        <v>69000.0</v>
      </c>
      <c r="E76" s="8">
        <v>1.0</v>
      </c>
      <c r="F76" s="8">
        <v>105.0</v>
      </c>
      <c r="G76" s="8">
        <v>19.0</v>
      </c>
      <c r="H76" s="9">
        <v>32503.0</v>
      </c>
      <c r="I76" s="9">
        <v>36497.0</v>
      </c>
      <c r="J76" s="10">
        <v>0.528942028985507</v>
      </c>
      <c r="K76" s="8">
        <v>7.0</v>
      </c>
    </row>
    <row r="77" ht="15.75" customHeight="1">
      <c r="A77" s="8" t="s">
        <v>56</v>
      </c>
      <c r="B77" s="8" t="s">
        <v>49</v>
      </c>
      <c r="C77" s="8" t="s">
        <v>8</v>
      </c>
      <c r="D77" s="9">
        <v>34500.0</v>
      </c>
      <c r="E77" s="8">
        <v>1.0</v>
      </c>
      <c r="F77" s="8">
        <v>106.0</v>
      </c>
      <c r="G77" s="8">
        <v>11.0</v>
      </c>
      <c r="H77" s="9">
        <v>25542.0</v>
      </c>
      <c r="I77" s="9">
        <v>8958.0</v>
      </c>
      <c r="J77" s="10">
        <v>0.259652173913044</v>
      </c>
      <c r="K77" s="8">
        <v>7.0</v>
      </c>
    </row>
    <row r="78" ht="15.75" customHeight="1">
      <c r="A78" s="8" t="s">
        <v>57</v>
      </c>
      <c r="B78" s="8" t="s">
        <v>48</v>
      </c>
      <c r="C78" s="8" t="s">
        <v>8</v>
      </c>
      <c r="D78" s="9">
        <v>69000.0</v>
      </c>
      <c r="E78" s="8">
        <v>1.0</v>
      </c>
      <c r="F78" s="8">
        <v>110.0</v>
      </c>
      <c r="G78" s="8">
        <v>15.0</v>
      </c>
      <c r="H78" s="9">
        <v>31218.0</v>
      </c>
      <c r="I78" s="9">
        <v>37782.0</v>
      </c>
      <c r="J78" s="10">
        <v>0.547565217391304</v>
      </c>
      <c r="K78" s="8">
        <v>8.0</v>
      </c>
    </row>
    <row r="79" ht="15.75" customHeight="1">
      <c r="A79" s="8" t="s">
        <v>57</v>
      </c>
      <c r="B79" s="8" t="s">
        <v>46</v>
      </c>
      <c r="C79" s="8" t="s">
        <v>8</v>
      </c>
      <c r="D79" s="9">
        <v>34500.0</v>
      </c>
      <c r="E79" s="8">
        <v>1.0</v>
      </c>
      <c r="F79" s="8">
        <v>105.0</v>
      </c>
      <c r="G79" s="8">
        <v>11.0</v>
      </c>
      <c r="H79" s="9">
        <v>25714.0</v>
      </c>
      <c r="I79" s="9">
        <v>8786.0</v>
      </c>
      <c r="J79" s="10">
        <v>0.254666666666667</v>
      </c>
      <c r="K79" s="8">
        <v>8.0</v>
      </c>
    </row>
    <row r="80" ht="15.75" customHeight="1">
      <c r="A80" s="8" t="s">
        <v>57</v>
      </c>
      <c r="B80" s="8" t="s">
        <v>50</v>
      </c>
      <c r="C80" s="8" t="s">
        <v>8</v>
      </c>
      <c r="D80" s="9">
        <v>69000.0</v>
      </c>
      <c r="E80" s="8">
        <v>1.0</v>
      </c>
      <c r="F80" s="8">
        <v>98.0</v>
      </c>
      <c r="G80" s="8">
        <v>17.0</v>
      </c>
      <c r="H80" s="9">
        <v>31508.0</v>
      </c>
      <c r="I80" s="9">
        <v>37492.0</v>
      </c>
      <c r="J80" s="10">
        <v>0.54336231884058</v>
      </c>
      <c r="K80" s="8">
        <v>8.0</v>
      </c>
    </row>
    <row r="81" ht="15.75" customHeight="1">
      <c r="A81" s="8" t="s">
        <v>57</v>
      </c>
      <c r="B81" s="8" t="s">
        <v>49</v>
      </c>
      <c r="C81" s="8" t="s">
        <v>8</v>
      </c>
      <c r="D81" s="9">
        <v>69000.0</v>
      </c>
      <c r="E81" s="8">
        <v>1.0</v>
      </c>
      <c r="F81" s="8">
        <v>110.0</v>
      </c>
      <c r="G81" s="8">
        <v>17.0</v>
      </c>
      <c r="H81" s="9">
        <v>32212.0</v>
      </c>
      <c r="I81" s="9">
        <v>36788.0</v>
      </c>
      <c r="J81" s="10">
        <v>0.533159420289855</v>
      </c>
      <c r="K81" s="8">
        <v>8.0</v>
      </c>
    </row>
    <row r="82" ht="15.75" customHeight="1">
      <c r="A82" s="8" t="s">
        <v>58</v>
      </c>
      <c r="B82" s="8" t="s">
        <v>48</v>
      </c>
      <c r="C82" s="8" t="s">
        <v>8</v>
      </c>
      <c r="D82" s="9">
        <v>69000.0</v>
      </c>
      <c r="E82" s="8">
        <v>1.0</v>
      </c>
      <c r="F82" s="8">
        <v>116.0</v>
      </c>
      <c r="G82" s="8">
        <v>16.0</v>
      </c>
      <c r="H82" s="9">
        <v>32125.0</v>
      </c>
      <c r="I82" s="9">
        <v>36875.0</v>
      </c>
      <c r="J82" s="10">
        <v>0.534420289855073</v>
      </c>
      <c r="K82" s="8">
        <v>9.0</v>
      </c>
    </row>
    <row r="83" ht="15.75" customHeight="1">
      <c r="A83" s="8" t="s">
        <v>58</v>
      </c>
      <c r="B83" s="8" t="s">
        <v>46</v>
      </c>
      <c r="C83" s="8" t="s">
        <v>8</v>
      </c>
      <c r="D83" s="9">
        <v>69000.0</v>
      </c>
      <c r="E83" s="8">
        <v>1.0</v>
      </c>
      <c r="F83" s="8">
        <v>106.0</v>
      </c>
      <c r="G83" s="8">
        <v>20.0</v>
      </c>
      <c r="H83" s="9">
        <v>31982.0</v>
      </c>
      <c r="I83" s="9">
        <v>37018.0</v>
      </c>
      <c r="J83" s="10">
        <v>0.536492753623188</v>
      </c>
      <c r="K83" s="8">
        <v>9.0</v>
      </c>
    </row>
    <row r="84" ht="15.75" customHeight="1">
      <c r="A84" s="8" t="s">
        <v>58</v>
      </c>
      <c r="B84" s="8" t="s">
        <v>50</v>
      </c>
      <c r="C84" s="8" t="s">
        <v>8</v>
      </c>
      <c r="D84" s="9">
        <v>34500.0</v>
      </c>
      <c r="E84" s="8">
        <v>1.0</v>
      </c>
      <c r="F84" s="8">
        <v>99.0</v>
      </c>
      <c r="G84" s="8">
        <v>10.0</v>
      </c>
      <c r="H84" s="9">
        <v>25694.0</v>
      </c>
      <c r="I84" s="9">
        <v>8806.0</v>
      </c>
      <c r="J84" s="10">
        <v>0.255246376811594</v>
      </c>
      <c r="K84" s="8">
        <v>9.0</v>
      </c>
    </row>
    <row r="85" ht="15.75" customHeight="1">
      <c r="A85" s="8" t="s">
        <v>58</v>
      </c>
      <c r="B85" s="8" t="s">
        <v>49</v>
      </c>
      <c r="C85" s="8" t="s">
        <v>8</v>
      </c>
      <c r="D85" s="9">
        <v>34500.0</v>
      </c>
      <c r="E85" s="8">
        <v>1.0</v>
      </c>
      <c r="F85" s="8">
        <v>116.0</v>
      </c>
      <c r="G85" s="8">
        <v>8.0</v>
      </c>
      <c r="H85" s="9">
        <v>25469.0</v>
      </c>
      <c r="I85" s="9">
        <v>9031.0</v>
      </c>
      <c r="J85" s="10">
        <v>0.261768115942029</v>
      </c>
      <c r="K85" s="8">
        <v>9.0</v>
      </c>
    </row>
    <row r="86" ht="15.75" customHeight="1">
      <c r="A86" s="8" t="s">
        <v>59</v>
      </c>
      <c r="B86" s="8" t="s">
        <v>48</v>
      </c>
      <c r="C86" s="8" t="s">
        <v>8</v>
      </c>
      <c r="D86" s="9">
        <v>69000.0</v>
      </c>
      <c r="E86" s="8">
        <v>1.0</v>
      </c>
      <c r="F86" s="8">
        <v>100.0</v>
      </c>
      <c r="G86" s="8">
        <v>17.0</v>
      </c>
      <c r="H86" s="9">
        <v>31780.0</v>
      </c>
      <c r="I86" s="9">
        <v>37220.0</v>
      </c>
      <c r="J86" s="10">
        <v>0.539420289855073</v>
      </c>
      <c r="K86" s="8">
        <v>10.0</v>
      </c>
    </row>
    <row r="87" ht="15.75" customHeight="1">
      <c r="A87" s="8" t="s">
        <v>59</v>
      </c>
      <c r="B87" s="8" t="s">
        <v>46</v>
      </c>
      <c r="C87" s="8" t="s">
        <v>8</v>
      </c>
      <c r="D87" s="9">
        <v>69000.0</v>
      </c>
      <c r="E87" s="8">
        <v>1.0</v>
      </c>
      <c r="F87" s="8">
        <v>95.0</v>
      </c>
      <c r="G87" s="8">
        <v>16.0</v>
      </c>
      <c r="H87" s="9">
        <v>30908.0</v>
      </c>
      <c r="I87" s="9">
        <v>38092.0</v>
      </c>
      <c r="J87" s="10">
        <v>0.552057971014493</v>
      </c>
      <c r="K87" s="8">
        <v>10.0</v>
      </c>
    </row>
    <row r="88" ht="15.75" customHeight="1">
      <c r="A88" s="8" t="s">
        <v>59</v>
      </c>
      <c r="B88" s="8" t="s">
        <v>50</v>
      </c>
      <c r="C88" s="8" t="s">
        <v>8</v>
      </c>
      <c r="D88" s="9">
        <v>34500.0</v>
      </c>
      <c r="E88" s="8">
        <v>1.0</v>
      </c>
      <c r="F88" s="8">
        <v>101.0</v>
      </c>
      <c r="G88" s="8">
        <v>9.0</v>
      </c>
      <c r="H88" s="9">
        <v>25067.0</v>
      </c>
      <c r="I88" s="9">
        <v>9433.0</v>
      </c>
      <c r="J88" s="10">
        <v>0.273420289855072</v>
      </c>
      <c r="K88" s="8">
        <v>10.0</v>
      </c>
    </row>
    <row r="89" ht="15.75" customHeight="1">
      <c r="A89" s="8" t="s">
        <v>59</v>
      </c>
      <c r="B89" s="8" t="s">
        <v>49</v>
      </c>
      <c r="C89" s="8" t="s">
        <v>8</v>
      </c>
      <c r="D89" s="9">
        <v>69000.0</v>
      </c>
      <c r="E89" s="8">
        <v>1.0</v>
      </c>
      <c r="F89" s="8">
        <v>115.0</v>
      </c>
      <c r="G89" s="8">
        <v>16.0</v>
      </c>
      <c r="H89" s="9">
        <v>31470.0</v>
      </c>
      <c r="I89" s="9">
        <v>37530.0</v>
      </c>
      <c r="J89" s="10">
        <v>0.543913043478261</v>
      </c>
      <c r="K89" s="8">
        <v>10.0</v>
      </c>
    </row>
    <row r="90" ht="15.75" customHeight="1">
      <c r="A90" s="8" t="s">
        <v>60</v>
      </c>
      <c r="B90" s="8" t="s">
        <v>48</v>
      </c>
      <c r="C90" s="8" t="s">
        <v>8</v>
      </c>
      <c r="D90" s="9">
        <v>69000.0</v>
      </c>
      <c r="E90" s="8">
        <v>1.0</v>
      </c>
      <c r="F90" s="8">
        <v>92.0</v>
      </c>
      <c r="G90" s="8">
        <v>19.0</v>
      </c>
      <c r="H90" s="9">
        <v>31290.0</v>
      </c>
      <c r="I90" s="9">
        <v>37710.0</v>
      </c>
      <c r="J90" s="10">
        <v>0.546521739130435</v>
      </c>
      <c r="K90" s="8">
        <v>11.0</v>
      </c>
    </row>
    <row r="91" ht="15.75" customHeight="1">
      <c r="A91" s="8" t="s">
        <v>60</v>
      </c>
      <c r="B91" s="8" t="s">
        <v>46</v>
      </c>
      <c r="C91" s="8" t="s">
        <v>8</v>
      </c>
      <c r="D91" s="9">
        <v>69000.0</v>
      </c>
      <c r="E91" s="8">
        <v>1.0</v>
      </c>
      <c r="F91" s="8">
        <v>103.0</v>
      </c>
      <c r="G91" s="8">
        <v>16.0</v>
      </c>
      <c r="H91" s="9">
        <v>31675.0</v>
      </c>
      <c r="I91" s="9">
        <v>37325.0</v>
      </c>
      <c r="J91" s="10">
        <v>0.540942028985507</v>
      </c>
      <c r="K91" s="8">
        <v>11.0</v>
      </c>
    </row>
    <row r="92" ht="15.75" customHeight="1">
      <c r="A92" s="8" t="s">
        <v>60</v>
      </c>
      <c r="B92" s="8" t="s">
        <v>50</v>
      </c>
      <c r="C92" s="8" t="s">
        <v>8</v>
      </c>
      <c r="D92" s="9">
        <v>34500.0</v>
      </c>
      <c r="E92" s="8">
        <v>1.0</v>
      </c>
      <c r="F92" s="8">
        <v>93.0</v>
      </c>
      <c r="G92" s="8">
        <v>12.0</v>
      </c>
      <c r="H92" s="9">
        <v>25723.0</v>
      </c>
      <c r="I92" s="9">
        <v>8777.0</v>
      </c>
      <c r="J92" s="10">
        <v>0.254405797101449</v>
      </c>
      <c r="K92" s="8">
        <v>11.0</v>
      </c>
    </row>
    <row r="93" ht="15.75" customHeight="1">
      <c r="A93" s="8" t="s">
        <v>60</v>
      </c>
      <c r="B93" s="8" t="s">
        <v>49</v>
      </c>
      <c r="C93" s="8" t="s">
        <v>8</v>
      </c>
      <c r="D93" s="9">
        <v>34500.0</v>
      </c>
      <c r="E93" s="8">
        <v>1.0</v>
      </c>
      <c r="F93" s="8">
        <v>115.0</v>
      </c>
      <c r="G93" s="8">
        <v>9.0</v>
      </c>
      <c r="H93" s="9">
        <v>26158.0</v>
      </c>
      <c r="I93" s="9">
        <v>8342.0</v>
      </c>
      <c r="J93" s="10">
        <v>0.241797101449275</v>
      </c>
      <c r="K93" s="8">
        <v>11.0</v>
      </c>
    </row>
    <row r="94" ht="15.75" customHeight="1">
      <c r="A94" s="8" t="s">
        <v>61</v>
      </c>
      <c r="B94" s="8" t="s">
        <v>48</v>
      </c>
      <c r="C94" s="8" t="s">
        <v>8</v>
      </c>
      <c r="D94" s="9">
        <v>34500.0</v>
      </c>
      <c r="E94" s="8">
        <v>1.0</v>
      </c>
      <c r="F94" s="8">
        <v>109.0</v>
      </c>
      <c r="G94" s="8">
        <v>11.0</v>
      </c>
      <c r="H94" s="9">
        <v>25998.0</v>
      </c>
      <c r="I94" s="9">
        <v>8502.0</v>
      </c>
      <c r="J94" s="10">
        <v>0.246434782608696</v>
      </c>
      <c r="K94" s="8">
        <v>12.0</v>
      </c>
    </row>
    <row r="95" ht="15.75" customHeight="1">
      <c r="A95" s="8" t="s">
        <v>61</v>
      </c>
      <c r="B95" s="8" t="s">
        <v>46</v>
      </c>
      <c r="C95" s="8" t="s">
        <v>8</v>
      </c>
      <c r="D95" s="9">
        <v>69000.0</v>
      </c>
      <c r="E95" s="8">
        <v>1.0</v>
      </c>
      <c r="F95" s="8">
        <v>107.0</v>
      </c>
      <c r="G95" s="8">
        <v>16.0</v>
      </c>
      <c r="H95" s="9">
        <v>31921.0</v>
      </c>
      <c r="I95" s="9">
        <v>37079.0</v>
      </c>
      <c r="J95" s="10">
        <v>0.537376811594203</v>
      </c>
      <c r="K95" s="8">
        <v>12.0</v>
      </c>
    </row>
    <row r="96" ht="15.75" customHeight="1">
      <c r="A96" s="8" t="s">
        <v>61</v>
      </c>
      <c r="B96" s="8" t="s">
        <v>50</v>
      </c>
      <c r="C96" s="8" t="s">
        <v>8</v>
      </c>
      <c r="D96" s="9">
        <v>69000.0</v>
      </c>
      <c r="E96" s="8">
        <v>1.0</v>
      </c>
      <c r="F96" s="8">
        <v>112.0</v>
      </c>
      <c r="G96" s="8">
        <v>20.0</v>
      </c>
      <c r="H96" s="9">
        <v>32799.0</v>
      </c>
      <c r="I96" s="9">
        <v>36201.0</v>
      </c>
      <c r="J96" s="10">
        <v>0.524652173913044</v>
      </c>
      <c r="K96" s="8">
        <v>12.0</v>
      </c>
    </row>
    <row r="97" ht="15.75" customHeight="1">
      <c r="A97" s="8" t="s">
        <v>61</v>
      </c>
      <c r="B97" s="8" t="s">
        <v>49</v>
      </c>
      <c r="C97" s="8" t="s">
        <v>8</v>
      </c>
      <c r="D97" s="9">
        <v>103500.0</v>
      </c>
      <c r="E97" s="8">
        <v>1.0</v>
      </c>
      <c r="F97" s="8">
        <v>104.0</v>
      </c>
      <c r="G97" s="8">
        <v>28.0</v>
      </c>
      <c r="H97" s="9">
        <v>39262.0</v>
      </c>
      <c r="I97" s="9">
        <v>64238.0</v>
      </c>
      <c r="J97" s="10">
        <v>0.620657004830918</v>
      </c>
      <c r="K97" s="8">
        <v>12.0</v>
      </c>
    </row>
    <row r="98" ht="15.75" customHeight="1">
      <c r="A98" s="11" t="s">
        <v>45</v>
      </c>
      <c r="B98" s="11" t="s">
        <v>48</v>
      </c>
      <c r="C98" s="11" t="s">
        <v>9</v>
      </c>
      <c r="D98" s="12">
        <v>9900.0</v>
      </c>
      <c r="E98" s="11">
        <v>1.0</v>
      </c>
      <c r="F98" s="11">
        <v>41.0</v>
      </c>
      <c r="G98" s="11">
        <v>0.0</v>
      </c>
      <c r="H98" s="12">
        <f>Planilha1!AC2</f>
        <v>15711</v>
      </c>
      <c r="I98" s="12">
        <f>Planilha1!AD2</f>
        <v>-5811</v>
      </c>
      <c r="J98" s="49">
        <f>Planilha1!AE2</f>
        <v>-0.586969697</v>
      </c>
      <c r="K98" s="11">
        <v>1.0</v>
      </c>
    </row>
    <row r="99" ht="15.75" customHeight="1">
      <c r="A99" s="11" t="s">
        <v>45</v>
      </c>
      <c r="B99" s="11" t="s">
        <v>50</v>
      </c>
      <c r="C99" s="11" t="s">
        <v>9</v>
      </c>
      <c r="D99" s="12">
        <v>19800.0</v>
      </c>
      <c r="E99" s="11">
        <v>2.0</v>
      </c>
      <c r="F99" s="11">
        <v>103.0</v>
      </c>
      <c r="G99" s="11">
        <v>0.0</v>
      </c>
      <c r="H99" s="12">
        <f>Planilha1!AC3</f>
        <v>16761</v>
      </c>
      <c r="I99" s="12">
        <f>Planilha1!AD3</f>
        <v>3039</v>
      </c>
      <c r="J99" s="49">
        <f>Planilha1!AE3</f>
        <v>0.1534848485</v>
      </c>
      <c r="K99" s="11">
        <v>1.0</v>
      </c>
    </row>
    <row r="100" ht="15.75" customHeight="1">
      <c r="A100" s="11" t="s">
        <v>51</v>
      </c>
      <c r="B100" s="11" t="s">
        <v>48</v>
      </c>
      <c r="C100" s="11" t="s">
        <v>9</v>
      </c>
      <c r="D100" s="12">
        <v>9900.0</v>
      </c>
      <c r="E100" s="11">
        <v>1.0</v>
      </c>
      <c r="F100" s="11">
        <v>43.0</v>
      </c>
      <c r="G100" s="11">
        <v>0.0</v>
      </c>
      <c r="H100" s="12">
        <f>Planilha1!AC4</f>
        <v>15493</v>
      </c>
      <c r="I100" s="12">
        <f>Planilha1!AD4</f>
        <v>-5593</v>
      </c>
      <c r="J100" s="49">
        <f>Planilha1!AE4</f>
        <v>-0.5649494949</v>
      </c>
      <c r="K100" s="11">
        <v>2.0</v>
      </c>
    </row>
    <row r="101" ht="15.75" customHeight="1">
      <c r="A101" s="11" t="s">
        <v>52</v>
      </c>
      <c r="B101" s="11" t="s">
        <v>48</v>
      </c>
      <c r="C101" s="11" t="s">
        <v>9</v>
      </c>
      <c r="D101" s="12">
        <v>9900.0</v>
      </c>
      <c r="E101" s="11">
        <v>1.0</v>
      </c>
      <c r="F101" s="11">
        <v>100.0</v>
      </c>
      <c r="G101" s="11">
        <v>0.0</v>
      </c>
      <c r="H101" s="12">
        <f>Planilha1!AC5</f>
        <v>16563</v>
      </c>
      <c r="I101" s="12">
        <f>Planilha1!AD5</f>
        <v>3237</v>
      </c>
      <c r="J101" s="49">
        <f>Planilha1!AE5</f>
        <v>0.1634848485</v>
      </c>
      <c r="K101" s="11">
        <v>3.0</v>
      </c>
    </row>
    <row r="102" ht="15.75" customHeight="1">
      <c r="A102" s="11" t="s">
        <v>52</v>
      </c>
      <c r="B102" s="11" t="s">
        <v>46</v>
      </c>
      <c r="C102" s="11" t="s">
        <v>9</v>
      </c>
      <c r="D102" s="12">
        <v>19800.0</v>
      </c>
      <c r="E102" s="11">
        <v>2.0</v>
      </c>
      <c r="F102" s="11">
        <v>59.0</v>
      </c>
      <c r="G102" s="11">
        <v>0.0</v>
      </c>
      <c r="H102" s="12">
        <f>Planilha1!AC6</f>
        <v>15906</v>
      </c>
      <c r="I102" s="12">
        <f>Planilha1!AD6</f>
        <v>-6006</v>
      </c>
      <c r="J102" s="49">
        <f>Planilha1!AE6</f>
        <v>-0.6066666667</v>
      </c>
      <c r="K102" s="11">
        <v>3.0</v>
      </c>
    </row>
    <row r="103" ht="15.75" customHeight="1">
      <c r="A103" s="11" t="s">
        <v>55</v>
      </c>
      <c r="B103" s="11" t="s">
        <v>46</v>
      </c>
      <c r="C103" s="11" t="s">
        <v>9</v>
      </c>
      <c r="D103" s="12">
        <v>9900.0</v>
      </c>
      <c r="E103" s="11">
        <v>1.0</v>
      </c>
      <c r="F103" s="11">
        <v>54.0</v>
      </c>
      <c r="G103" s="11">
        <v>0.0</v>
      </c>
      <c r="H103" s="12">
        <f>Planilha1!AC7</f>
        <v>15755</v>
      </c>
      <c r="I103" s="12">
        <f>Planilha1!AD7</f>
        <v>-5855</v>
      </c>
      <c r="J103" s="49">
        <f>Planilha1!AE7</f>
        <v>-0.5914141414</v>
      </c>
      <c r="K103" s="11">
        <v>6.0</v>
      </c>
    </row>
    <row r="104" ht="15.75" customHeight="1">
      <c r="A104" s="11" t="s">
        <v>55</v>
      </c>
      <c r="B104" s="11" t="s">
        <v>50</v>
      </c>
      <c r="C104" s="11" t="s">
        <v>9</v>
      </c>
      <c r="D104" s="12">
        <v>9900.0</v>
      </c>
      <c r="E104" s="11">
        <v>1.0</v>
      </c>
      <c r="F104" s="11">
        <v>39.0</v>
      </c>
      <c r="G104" s="11">
        <v>0.0</v>
      </c>
      <c r="H104" s="12">
        <f>Planilha1!AC8</f>
        <v>15526</v>
      </c>
      <c r="I104" s="12">
        <f>Planilha1!AD8</f>
        <v>-5626</v>
      </c>
      <c r="J104" s="49">
        <f>Planilha1!AE8</f>
        <v>-0.5682828283</v>
      </c>
      <c r="K104" s="11">
        <v>6.0</v>
      </c>
    </row>
    <row r="105" ht="15.75" customHeight="1">
      <c r="A105" s="11" t="s">
        <v>55</v>
      </c>
      <c r="B105" s="11" t="s">
        <v>49</v>
      </c>
      <c r="C105" s="11" t="s">
        <v>9</v>
      </c>
      <c r="D105" s="12">
        <v>9900.0</v>
      </c>
      <c r="E105" s="11">
        <v>1.0</v>
      </c>
      <c r="F105" s="11">
        <v>60.0</v>
      </c>
      <c r="G105" s="11">
        <v>0.0</v>
      </c>
      <c r="H105" s="12">
        <f>Planilha1!AC9</f>
        <v>15497</v>
      </c>
      <c r="I105" s="12">
        <f>Planilha1!AD9</f>
        <v>-5597</v>
      </c>
      <c r="J105" s="49">
        <f>Planilha1!AE9</f>
        <v>-0.5653535354</v>
      </c>
      <c r="K105" s="11">
        <v>6.0</v>
      </c>
    </row>
    <row r="106" ht="15.75" customHeight="1">
      <c r="A106" s="11" t="s">
        <v>56</v>
      </c>
      <c r="B106" s="11" t="s">
        <v>46</v>
      </c>
      <c r="C106" s="11" t="s">
        <v>9</v>
      </c>
      <c r="D106" s="12">
        <v>19800.0</v>
      </c>
      <c r="E106" s="11">
        <v>2.0</v>
      </c>
      <c r="F106" s="11">
        <v>86.0</v>
      </c>
      <c r="G106" s="11">
        <v>0.0</v>
      </c>
      <c r="H106" s="12">
        <f>Planilha1!AC10</f>
        <v>16778</v>
      </c>
      <c r="I106" s="12">
        <f>Planilha1!AD10</f>
        <v>3022</v>
      </c>
      <c r="J106" s="49">
        <f>Planilha1!AE10</f>
        <v>0.1526262626</v>
      </c>
      <c r="K106" s="11">
        <v>7.0</v>
      </c>
    </row>
    <row r="107" ht="15.75" customHeight="1">
      <c r="A107" s="11" t="s">
        <v>56</v>
      </c>
      <c r="B107" s="11" t="s">
        <v>50</v>
      </c>
      <c r="C107" s="11" t="s">
        <v>9</v>
      </c>
      <c r="D107" s="12">
        <v>9900.0</v>
      </c>
      <c r="E107" s="11">
        <v>1.0</v>
      </c>
      <c r="F107" s="11">
        <v>46.0</v>
      </c>
      <c r="G107" s="11">
        <v>0.0</v>
      </c>
      <c r="H107" s="12">
        <f>Planilha1!AC11</f>
        <v>15880</v>
      </c>
      <c r="I107" s="12">
        <f>Planilha1!AD11</f>
        <v>-5980</v>
      </c>
      <c r="J107" s="49">
        <f>Planilha1!AE11</f>
        <v>-0.604040404</v>
      </c>
      <c r="K107" s="11">
        <v>7.0</v>
      </c>
    </row>
    <row r="108" ht="15.75" customHeight="1">
      <c r="A108" s="11" t="s">
        <v>56</v>
      </c>
      <c r="B108" s="11" t="s">
        <v>49</v>
      </c>
      <c r="C108" s="11" t="s">
        <v>9</v>
      </c>
      <c r="D108" s="12">
        <v>9900.0</v>
      </c>
      <c r="E108" s="11">
        <v>1.0</v>
      </c>
      <c r="F108" s="11">
        <v>57.0</v>
      </c>
      <c r="G108" s="11">
        <v>0.0</v>
      </c>
      <c r="H108" s="12">
        <f>Planilha1!AC12</f>
        <v>15394</v>
      </c>
      <c r="I108" s="12">
        <f>Planilha1!AD12</f>
        <v>-5494</v>
      </c>
      <c r="J108" s="49">
        <f>Planilha1!AE12</f>
        <v>-0.5549494949</v>
      </c>
      <c r="K108" s="11">
        <v>7.0</v>
      </c>
    </row>
    <row r="109" ht="15.75" customHeight="1">
      <c r="A109" s="11" t="s">
        <v>57</v>
      </c>
      <c r="B109" s="11" t="s">
        <v>48</v>
      </c>
      <c r="C109" s="11" t="s">
        <v>9</v>
      </c>
      <c r="D109" s="12">
        <v>9900.0</v>
      </c>
      <c r="E109" s="11">
        <v>1.0</v>
      </c>
      <c r="F109" s="11">
        <v>59.0</v>
      </c>
      <c r="G109" s="11">
        <v>0.0</v>
      </c>
      <c r="H109" s="12">
        <f>Planilha1!AC13</f>
        <v>15826</v>
      </c>
      <c r="I109" s="12">
        <f>Planilha1!AD13</f>
        <v>-5926</v>
      </c>
      <c r="J109" s="49">
        <f>Planilha1!AE13</f>
        <v>-0.5985858586</v>
      </c>
      <c r="K109" s="11">
        <v>8.0</v>
      </c>
    </row>
    <row r="110" ht="15.75" customHeight="1">
      <c r="A110" s="11" t="s">
        <v>57</v>
      </c>
      <c r="B110" s="11" t="s">
        <v>46</v>
      </c>
      <c r="C110" s="11" t="s">
        <v>9</v>
      </c>
      <c r="D110" s="12">
        <v>9900.0</v>
      </c>
      <c r="E110" s="11">
        <v>1.0</v>
      </c>
      <c r="F110" s="11">
        <v>44.0</v>
      </c>
      <c r="G110" s="11">
        <v>0.0</v>
      </c>
      <c r="H110" s="12">
        <f>Planilha1!AC14</f>
        <v>15794</v>
      </c>
      <c r="I110" s="12">
        <f>Planilha1!AD14</f>
        <v>-5894</v>
      </c>
      <c r="J110" s="49">
        <f>Planilha1!AE14</f>
        <v>-0.5953535354</v>
      </c>
      <c r="K110" s="11">
        <v>8.0</v>
      </c>
    </row>
    <row r="111" ht="15.75" customHeight="1">
      <c r="A111" s="11" t="s">
        <v>58</v>
      </c>
      <c r="B111" s="11" t="s">
        <v>48</v>
      </c>
      <c r="C111" s="11" t="s">
        <v>9</v>
      </c>
      <c r="D111" s="12">
        <v>9900.0</v>
      </c>
      <c r="E111" s="11">
        <v>1.0</v>
      </c>
      <c r="F111" s="11">
        <v>52.0</v>
      </c>
      <c r="G111" s="11">
        <v>0.0</v>
      </c>
      <c r="H111" s="12">
        <f>Planilha1!AC15</f>
        <v>15776</v>
      </c>
      <c r="I111" s="12">
        <f>Planilha1!AD15</f>
        <v>-5876</v>
      </c>
      <c r="J111" s="49">
        <f>Planilha1!AE15</f>
        <v>-0.5935353535</v>
      </c>
      <c r="K111" s="11">
        <v>9.0</v>
      </c>
    </row>
    <row r="112" ht="15.75" customHeight="1">
      <c r="A112" s="11" t="s">
        <v>58</v>
      </c>
      <c r="B112" s="11" t="s">
        <v>46</v>
      </c>
      <c r="C112" s="11" t="s">
        <v>9</v>
      </c>
      <c r="D112" s="12">
        <v>9900.0</v>
      </c>
      <c r="E112" s="11">
        <v>1.0</v>
      </c>
      <c r="F112" s="11">
        <v>34.0</v>
      </c>
      <c r="G112" s="11">
        <v>0.0</v>
      </c>
      <c r="H112" s="12">
        <f>Planilha1!AC16</f>
        <v>15768</v>
      </c>
      <c r="I112" s="12">
        <f>Planilha1!AD16</f>
        <v>-5868</v>
      </c>
      <c r="J112" s="49">
        <f>Planilha1!AE16</f>
        <v>-0.5927272727</v>
      </c>
      <c r="K112" s="11">
        <v>9.0</v>
      </c>
    </row>
    <row r="113" ht="15.75" customHeight="1">
      <c r="A113" s="11" t="s">
        <v>58</v>
      </c>
      <c r="B113" s="11" t="s">
        <v>50</v>
      </c>
      <c r="C113" s="11" t="s">
        <v>9</v>
      </c>
      <c r="D113" s="12">
        <v>19800.0</v>
      </c>
      <c r="E113" s="11">
        <v>2.0</v>
      </c>
      <c r="F113" s="11">
        <v>98.0</v>
      </c>
      <c r="G113" s="11">
        <v>0.0</v>
      </c>
      <c r="H113" s="12">
        <f>Planilha1!AC17</f>
        <v>16411</v>
      </c>
      <c r="I113" s="12">
        <f>Planilha1!AD17</f>
        <v>3389</v>
      </c>
      <c r="J113" s="49">
        <f>Planilha1!AE17</f>
        <v>0.1711616162</v>
      </c>
      <c r="K113" s="11">
        <v>9.0</v>
      </c>
    </row>
    <row r="114" ht="15.75" customHeight="1">
      <c r="A114" s="11" t="s">
        <v>59</v>
      </c>
      <c r="B114" s="11" t="s">
        <v>48</v>
      </c>
      <c r="C114" s="11" t="s">
        <v>9</v>
      </c>
      <c r="D114" s="12">
        <v>19800.0</v>
      </c>
      <c r="E114" s="11">
        <v>2.0</v>
      </c>
      <c r="F114" s="11">
        <v>117.0</v>
      </c>
      <c r="G114" s="11">
        <v>0.0</v>
      </c>
      <c r="H114" s="12">
        <f>Planilha1!AC18</f>
        <v>17167</v>
      </c>
      <c r="I114" s="12">
        <f>Planilha1!AD18</f>
        <v>2633</v>
      </c>
      <c r="J114" s="49">
        <f>Planilha1!AE18</f>
        <v>0.132979798</v>
      </c>
      <c r="K114" s="11">
        <v>10.0</v>
      </c>
    </row>
    <row r="115" ht="15.75" customHeight="1">
      <c r="A115" s="11" t="s">
        <v>59</v>
      </c>
      <c r="B115" s="11" t="s">
        <v>50</v>
      </c>
      <c r="C115" s="11" t="s">
        <v>9</v>
      </c>
      <c r="D115" s="12">
        <v>9900.0</v>
      </c>
      <c r="E115" s="11">
        <v>1.0</v>
      </c>
      <c r="F115" s="11">
        <v>39.0</v>
      </c>
      <c r="G115" s="11">
        <v>0.0</v>
      </c>
      <c r="H115" s="12">
        <f>Planilha1!AC19</f>
        <v>16051</v>
      </c>
      <c r="I115" s="12">
        <f>Planilha1!AD19</f>
        <v>-6151</v>
      </c>
      <c r="J115" s="49">
        <f>Planilha1!AE19</f>
        <v>-0.6213131313</v>
      </c>
      <c r="K115" s="11">
        <v>10.0</v>
      </c>
    </row>
    <row r="116" ht="15.75" customHeight="1">
      <c r="A116" s="11" t="s">
        <v>60</v>
      </c>
      <c r="B116" s="11" t="s">
        <v>48</v>
      </c>
      <c r="C116" s="11" t="s">
        <v>9</v>
      </c>
      <c r="D116" s="12">
        <v>9900.0</v>
      </c>
      <c r="E116" s="11">
        <v>1.0</v>
      </c>
      <c r="F116" s="11">
        <v>57.0</v>
      </c>
      <c r="G116" s="11">
        <v>0.0</v>
      </c>
      <c r="H116" s="12">
        <f>Planilha1!AC20</f>
        <v>16114</v>
      </c>
      <c r="I116" s="12">
        <f>Planilha1!AD20</f>
        <v>-6214</v>
      </c>
      <c r="J116" s="49">
        <f>Planilha1!AE20</f>
        <v>-0.6276767677</v>
      </c>
      <c r="K116" s="11">
        <v>11.0</v>
      </c>
    </row>
    <row r="117" ht="15.75" customHeight="1">
      <c r="A117" s="11" t="s">
        <v>60</v>
      </c>
      <c r="B117" s="11" t="s">
        <v>46</v>
      </c>
      <c r="C117" s="11" t="s">
        <v>9</v>
      </c>
      <c r="D117" s="12">
        <v>9900.0</v>
      </c>
      <c r="E117" s="11">
        <v>1.0</v>
      </c>
      <c r="F117" s="11">
        <v>51.0</v>
      </c>
      <c r="G117" s="11">
        <v>0.0</v>
      </c>
      <c r="H117" s="12">
        <f>Planilha1!AC21</f>
        <v>15328</v>
      </c>
      <c r="I117" s="12">
        <f>Planilha1!AD21</f>
        <v>-5428</v>
      </c>
      <c r="J117" s="49">
        <f>Planilha1!AE21</f>
        <v>-0.5482828283</v>
      </c>
      <c r="K117" s="11">
        <v>11.0</v>
      </c>
    </row>
    <row r="118" ht="15.75" customHeight="1">
      <c r="A118" s="11" t="s">
        <v>60</v>
      </c>
      <c r="B118" s="11" t="s">
        <v>50</v>
      </c>
      <c r="C118" s="11" t="s">
        <v>9</v>
      </c>
      <c r="D118" s="12">
        <v>9900.0</v>
      </c>
      <c r="E118" s="11">
        <v>1.0</v>
      </c>
      <c r="F118" s="11">
        <v>59.0</v>
      </c>
      <c r="G118" s="11">
        <v>0.0</v>
      </c>
      <c r="H118" s="12">
        <f>Planilha1!AC22</f>
        <v>15994</v>
      </c>
      <c r="I118" s="12">
        <f>Planilha1!AD22</f>
        <v>-6094</v>
      </c>
      <c r="J118" s="49">
        <f>Planilha1!AE22</f>
        <v>-0.6155555556</v>
      </c>
      <c r="K118" s="11">
        <v>11.0</v>
      </c>
    </row>
    <row r="119" ht="15.75" customHeight="1">
      <c r="A119" s="11" t="s">
        <v>60</v>
      </c>
      <c r="B119" s="11" t="s">
        <v>49</v>
      </c>
      <c r="C119" s="11" t="s">
        <v>9</v>
      </c>
      <c r="D119" s="12">
        <v>9900.0</v>
      </c>
      <c r="E119" s="11">
        <v>1.0</v>
      </c>
      <c r="F119" s="11">
        <v>53.0</v>
      </c>
      <c r="G119" s="11">
        <v>0.0</v>
      </c>
      <c r="H119" s="12">
        <f>Planilha1!AC23</f>
        <v>14799</v>
      </c>
      <c r="I119" s="12">
        <f>Planilha1!AD23</f>
        <v>-4899</v>
      </c>
      <c r="J119" s="49">
        <f>Planilha1!AE23</f>
        <v>-0.4948484848</v>
      </c>
      <c r="K119" s="11">
        <v>11.0</v>
      </c>
    </row>
    <row r="120" ht="15.75" customHeight="1">
      <c r="A120" s="11" t="s">
        <v>61</v>
      </c>
      <c r="B120" s="11" t="s">
        <v>48</v>
      </c>
      <c r="C120" s="11" t="s">
        <v>9</v>
      </c>
      <c r="D120" s="12">
        <v>9900.0</v>
      </c>
      <c r="E120" s="11">
        <v>1.0</v>
      </c>
      <c r="F120" s="11">
        <v>42.0</v>
      </c>
      <c r="G120" s="11">
        <v>0.0</v>
      </c>
      <c r="H120" s="12">
        <f>Planilha1!AC24</f>
        <v>15666</v>
      </c>
      <c r="I120" s="12">
        <f>Planilha1!AD24</f>
        <v>-5766</v>
      </c>
      <c r="J120" s="49">
        <f>Planilha1!AE24</f>
        <v>-0.5824242424</v>
      </c>
      <c r="K120" s="11">
        <v>12.0</v>
      </c>
    </row>
    <row r="121" ht="15.75" customHeight="1">
      <c r="A121" s="11" t="s">
        <v>61</v>
      </c>
      <c r="B121" s="11" t="s">
        <v>46</v>
      </c>
      <c r="C121" s="11" t="s">
        <v>9</v>
      </c>
      <c r="D121" s="12">
        <v>9900.0</v>
      </c>
      <c r="E121" s="11">
        <v>1.0</v>
      </c>
      <c r="F121" s="11">
        <v>48.0</v>
      </c>
      <c r="G121" s="11">
        <v>0.0</v>
      </c>
      <c r="H121" s="12">
        <f>Planilha1!AC25</f>
        <v>15583</v>
      </c>
      <c r="I121" s="12">
        <f>Planilha1!AD25</f>
        <v>-5683</v>
      </c>
      <c r="J121" s="49">
        <f>Planilha1!AE25</f>
        <v>-0.574040404</v>
      </c>
      <c r="K121" s="11">
        <v>12.0</v>
      </c>
    </row>
    <row r="122" ht="15.75" customHeight="1">
      <c r="A122" s="11" t="s">
        <v>61</v>
      </c>
      <c r="B122" s="11" t="s">
        <v>50</v>
      </c>
      <c r="C122" s="11" t="s">
        <v>9</v>
      </c>
      <c r="D122" s="12">
        <v>9900.0</v>
      </c>
      <c r="E122" s="11">
        <v>1.0</v>
      </c>
      <c r="F122" s="11">
        <v>49.0</v>
      </c>
      <c r="G122" s="11">
        <v>0.0</v>
      </c>
      <c r="H122" s="12">
        <f>Planilha1!AC26</f>
        <v>16217</v>
      </c>
      <c r="I122" s="12">
        <f>Planilha1!AD26</f>
        <v>-6317</v>
      </c>
      <c r="J122" s="49">
        <f>Planilha1!AE26</f>
        <v>-0.6380808081</v>
      </c>
      <c r="K122" s="11">
        <v>12.0</v>
      </c>
    </row>
    <row r="123" ht="15.75" customHeight="1">
      <c r="A123" s="11" t="s">
        <v>61</v>
      </c>
      <c r="B123" s="11" t="s">
        <v>49</v>
      </c>
      <c r="C123" s="11" t="s">
        <v>9</v>
      </c>
      <c r="D123" s="12">
        <v>9900.0</v>
      </c>
      <c r="E123" s="11">
        <v>1.0</v>
      </c>
      <c r="F123" s="11">
        <v>39.0</v>
      </c>
      <c r="G123" s="11">
        <v>0.0</v>
      </c>
      <c r="H123" s="12">
        <f>Planilha1!AC27</f>
        <v>16084</v>
      </c>
      <c r="I123" s="12">
        <f>Planilha1!AD27</f>
        <v>-6184</v>
      </c>
      <c r="J123" s="49">
        <f>Planilha1!AE27</f>
        <v>-0.6246464646</v>
      </c>
      <c r="K123" s="11">
        <v>12.0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1.71"/>
    <col customWidth="1" min="3" max="3" width="12.71"/>
    <col customWidth="1" min="4" max="4" width="16.29"/>
    <col customWidth="1" min="5" max="5" width="12.0"/>
    <col customWidth="1" min="6" max="6" width="16.0"/>
    <col customWidth="1" min="7" max="7" width="14.71"/>
    <col customWidth="1" min="8" max="8" width="13.71"/>
    <col customWidth="1" min="9" max="9" width="14.57"/>
    <col customWidth="1" min="10" max="26" width="8.71"/>
  </cols>
  <sheetData>
    <row r="1">
      <c r="A1" s="35" t="s">
        <v>152</v>
      </c>
    </row>
    <row r="3">
      <c r="A3" s="50" t="s">
        <v>153</v>
      </c>
      <c r="B3" s="51"/>
    </row>
    <row r="4">
      <c r="A4" s="52" t="s">
        <v>154</v>
      </c>
      <c r="B4" s="52">
        <v>0.5349876832856877</v>
      </c>
    </row>
    <row r="5">
      <c r="A5" s="52" t="s">
        <v>155</v>
      </c>
      <c r="B5" s="52">
        <v>0.2862118212673873</v>
      </c>
    </row>
    <row r="6">
      <c r="A6" s="52" t="s">
        <v>156</v>
      </c>
      <c r="B6" s="52">
        <v>0.22414328398629055</v>
      </c>
    </row>
    <row r="7">
      <c r="A7" s="52" t="s">
        <v>157</v>
      </c>
      <c r="B7" s="52">
        <v>561.7098091702474</v>
      </c>
    </row>
    <row r="8">
      <c r="A8" s="53" t="s">
        <v>158</v>
      </c>
      <c r="B8" s="53">
        <v>26.0</v>
      </c>
    </row>
    <row r="10">
      <c r="A10" s="35" t="s">
        <v>159</v>
      </c>
    </row>
    <row r="11">
      <c r="A11" s="50"/>
      <c r="B11" s="50" t="s">
        <v>160</v>
      </c>
      <c r="C11" s="50" t="s">
        <v>161</v>
      </c>
      <c r="D11" s="50" t="s">
        <v>162</v>
      </c>
      <c r="E11" s="50" t="s">
        <v>163</v>
      </c>
      <c r="F11" s="50" t="s">
        <v>164</v>
      </c>
    </row>
    <row r="12">
      <c r="A12" s="52" t="s">
        <v>165</v>
      </c>
      <c r="B12" s="52">
        <v>2.0</v>
      </c>
      <c r="C12" s="52">
        <v>2909846.4226381024</v>
      </c>
      <c r="D12" s="52">
        <v>1454923.2113190512</v>
      </c>
      <c r="E12" s="52">
        <v>4.611222268235317</v>
      </c>
      <c r="F12" s="54">
        <v>0.020703679629289266</v>
      </c>
    </row>
    <row r="13">
      <c r="A13" s="52" t="s">
        <v>166</v>
      </c>
      <c r="B13" s="52">
        <v>23.0</v>
      </c>
      <c r="C13" s="52">
        <v>7256911.923515742</v>
      </c>
      <c r="D13" s="52">
        <v>315517.9097180757</v>
      </c>
      <c r="E13" s="52"/>
      <c r="F13" s="52"/>
    </row>
    <row r="14">
      <c r="A14" s="53" t="s">
        <v>167</v>
      </c>
      <c r="B14" s="53">
        <v>25.0</v>
      </c>
      <c r="C14" s="53">
        <v>1.0166758346153844E7</v>
      </c>
      <c r="D14" s="53"/>
      <c r="E14" s="53"/>
      <c r="F14" s="53"/>
    </row>
    <row r="16">
      <c r="A16" s="50"/>
      <c r="B16" s="50" t="s">
        <v>168</v>
      </c>
      <c r="C16" s="50" t="s">
        <v>157</v>
      </c>
      <c r="D16" s="50" t="s">
        <v>169</v>
      </c>
      <c r="E16" s="50" t="s">
        <v>170</v>
      </c>
      <c r="F16" s="50" t="s">
        <v>171</v>
      </c>
      <c r="G16" s="50" t="s">
        <v>172</v>
      </c>
      <c r="H16" s="50" t="s">
        <v>173</v>
      </c>
      <c r="I16" s="50" t="s">
        <v>174</v>
      </c>
    </row>
    <row r="17">
      <c r="A17" s="55" t="s">
        <v>175</v>
      </c>
      <c r="B17" s="55">
        <v>8962.675258821042</v>
      </c>
      <c r="C17" s="52">
        <v>364.1339291615507</v>
      </c>
      <c r="D17" s="52">
        <v>24.61367793838482</v>
      </c>
      <c r="E17" s="56">
        <v>5.017689106935445E-18</v>
      </c>
      <c r="F17" s="55">
        <v>8209.406835049209</v>
      </c>
      <c r="G17" s="55">
        <v>9715.943682592875</v>
      </c>
      <c r="H17" s="55">
        <v>8338.5964853444</v>
      </c>
      <c r="I17" s="55">
        <v>9586.754032297684</v>
      </c>
    </row>
    <row r="18">
      <c r="A18" s="55" t="s">
        <v>176</v>
      </c>
      <c r="B18" s="55">
        <v>-753.448763997464</v>
      </c>
      <c r="C18" s="52">
        <v>1737.1295734410755</v>
      </c>
      <c r="D18" s="52">
        <v>-0.43373204596647286</v>
      </c>
      <c r="E18" s="56">
        <v>0.6685242001359595</v>
      </c>
      <c r="F18" s="55">
        <v>-4346.975076380341</v>
      </c>
      <c r="G18" s="55">
        <v>2840.077548385413</v>
      </c>
      <c r="H18" s="55">
        <v>-3730.6656799254984</v>
      </c>
      <c r="I18" s="55">
        <v>2223.76815193057</v>
      </c>
    </row>
    <row r="19">
      <c r="A19" s="57" t="s">
        <v>177</v>
      </c>
      <c r="B19" s="57">
        <v>53.936615254595374</v>
      </c>
      <c r="C19" s="53">
        <v>59.15935189099769</v>
      </c>
      <c r="D19" s="53">
        <v>0.9117174805088244</v>
      </c>
      <c r="E19" s="58">
        <v>0.37137491217824903</v>
      </c>
      <c r="F19" s="57">
        <v>-68.44382826217557</v>
      </c>
      <c r="G19" s="57">
        <v>176.3170587713663</v>
      </c>
      <c r="H19" s="57">
        <v>-47.45491355135406</v>
      </c>
      <c r="I19" s="57">
        <v>155.32814406054482</v>
      </c>
    </row>
    <row r="21" ht="15.75" customHeight="1"/>
    <row r="22" ht="15.75" customHeight="1"/>
    <row r="23" ht="15.75" customHeight="1">
      <c r="A23" s="35" t="s">
        <v>178</v>
      </c>
    </row>
    <row r="24" ht="15.75" customHeight="1"/>
    <row r="25" ht="15.75" customHeight="1">
      <c r="A25" s="50" t="s">
        <v>179</v>
      </c>
      <c r="B25" s="50" t="s">
        <v>180</v>
      </c>
      <c r="C25" s="50" t="s">
        <v>181</v>
      </c>
      <c r="D25" s="50" t="s">
        <v>182</v>
      </c>
    </row>
    <row r="26" ht="15.75" customHeight="1">
      <c r="A26" s="52">
        <v>1.0</v>
      </c>
      <c r="B26" s="52">
        <v>9773.388337206845</v>
      </c>
      <c r="C26" s="52">
        <v>-173.38833720684488</v>
      </c>
      <c r="D26" s="59">
        <v>-0.32182068878610176</v>
      </c>
    </row>
    <row r="27" ht="15.75" customHeight="1">
      <c r="A27" s="52">
        <v>2.0</v>
      </c>
      <c r="B27" s="52">
        <v>10691.974646101837</v>
      </c>
      <c r="C27" s="52">
        <v>-443.9746461018367</v>
      </c>
      <c r="D27" s="59">
        <v>-0.8240475035042804</v>
      </c>
    </row>
    <row r="28" ht="15.75" customHeight="1">
      <c r="A28" s="52">
        <v>3.0</v>
      </c>
      <c r="B28" s="52">
        <v>9773.388337206845</v>
      </c>
      <c r="C28" s="52">
        <v>-638.3883372068449</v>
      </c>
      <c r="D28" s="59">
        <v>-1.1848926963745665</v>
      </c>
    </row>
    <row r="29" ht="15.75" customHeight="1">
      <c r="A29" s="52">
        <v>4.0</v>
      </c>
      <c r="B29" s="52">
        <v>10530.16480033805</v>
      </c>
      <c r="C29" s="52">
        <v>-76.16480033805055</v>
      </c>
      <c r="D29" s="59">
        <v>-0.14136711211900188</v>
      </c>
    </row>
    <row r="30" ht="15.75" customHeight="1">
      <c r="A30" s="52">
        <v>5.0</v>
      </c>
      <c r="B30" s="52">
        <v>9989.134798225226</v>
      </c>
      <c r="C30" s="52">
        <v>-597.1347982252264</v>
      </c>
      <c r="D30" s="59">
        <v>-1.1083232883982344</v>
      </c>
    </row>
    <row r="31" ht="15.75" customHeight="1">
      <c r="A31" s="52">
        <v>6.0</v>
      </c>
      <c r="B31" s="52">
        <v>9935.198182970631</v>
      </c>
      <c r="C31" s="52">
        <v>-567.198182970631</v>
      </c>
      <c r="D31" s="59">
        <v>-1.0527588698429933</v>
      </c>
    </row>
    <row r="32" ht="15.75" customHeight="1">
      <c r="A32" s="52">
        <v>7.0</v>
      </c>
      <c r="B32" s="52">
        <v>9935.198182970631</v>
      </c>
      <c r="C32" s="52">
        <v>1163.801817029369</v>
      </c>
      <c r="D32" s="59">
        <v>2.1600962809863242</v>
      </c>
    </row>
    <row r="33" ht="15.75" customHeight="1">
      <c r="A33" s="52">
        <v>8.0</v>
      </c>
      <c r="B33" s="52">
        <v>9989.134798225226</v>
      </c>
      <c r="C33" s="52">
        <v>704.8652017747736</v>
      </c>
      <c r="D33" s="59">
        <v>1.3082783328494672</v>
      </c>
    </row>
    <row r="34" ht="15.75" customHeight="1">
      <c r="A34" s="52">
        <v>9.0</v>
      </c>
      <c r="B34" s="52">
        <v>10638.038030847241</v>
      </c>
      <c r="C34" s="52">
        <v>542.9619691527587</v>
      </c>
      <c r="D34" s="59">
        <v>1.007774788733027</v>
      </c>
    </row>
    <row r="35" ht="15.75" customHeight="1">
      <c r="A35" s="52">
        <v>10.0</v>
      </c>
      <c r="B35" s="52">
        <v>9881.261567716036</v>
      </c>
      <c r="C35" s="52">
        <v>759.7384322839644</v>
      </c>
      <c r="D35" s="59">
        <v>1.4101268257923314</v>
      </c>
    </row>
    <row r="36" ht="15.75" customHeight="1">
      <c r="A36" s="52">
        <v>11.0</v>
      </c>
      <c r="B36" s="52">
        <v>9827.32495246144</v>
      </c>
      <c r="C36" s="52">
        <v>-400.32495246144026</v>
      </c>
      <c r="D36" s="59">
        <v>-0.7430306675454882</v>
      </c>
    </row>
    <row r="37" ht="15.75" customHeight="1">
      <c r="A37" s="52">
        <v>12.0</v>
      </c>
      <c r="B37" s="52">
        <v>9881.261567716036</v>
      </c>
      <c r="C37" s="52">
        <v>-264.26156771603564</v>
      </c>
      <c r="D37" s="59">
        <v>-0.4904876597358149</v>
      </c>
    </row>
    <row r="38" ht="15.75" customHeight="1">
      <c r="A38" s="52">
        <v>13.0</v>
      </c>
      <c r="B38" s="52">
        <v>9719.45172195225</v>
      </c>
      <c r="C38" s="52">
        <v>178.5482780477505</v>
      </c>
      <c r="D38" s="59">
        <v>0.33139789416373217</v>
      </c>
    </row>
    <row r="39" ht="15.75" customHeight="1">
      <c r="A39" s="52">
        <v>14.0</v>
      </c>
      <c r="B39" s="52">
        <v>9773.388337206845</v>
      </c>
      <c r="C39" s="52">
        <v>-53.38833720684488</v>
      </c>
      <c r="D39" s="59">
        <v>-0.09909242876327214</v>
      </c>
    </row>
    <row r="40" ht="15.75" customHeight="1">
      <c r="A40" s="52">
        <v>15.0</v>
      </c>
      <c r="B40" s="52">
        <v>9719.45172195225</v>
      </c>
      <c r="C40" s="52">
        <v>-264.4517219522495</v>
      </c>
      <c r="D40" s="59">
        <v>-0.4908405990872139</v>
      </c>
    </row>
    <row r="41" ht="15.75" customHeight="1">
      <c r="A41" s="52">
        <v>16.0</v>
      </c>
      <c r="B41" s="52">
        <v>10638.038030847241</v>
      </c>
      <c r="C41" s="52">
        <v>-32.038030847241316</v>
      </c>
      <c r="D41" s="59">
        <v>-0.05946479054303167</v>
      </c>
    </row>
    <row r="42" ht="15.75" customHeight="1">
      <c r="A42" s="52">
        <v>17.0</v>
      </c>
      <c r="B42" s="52">
        <v>10853.784491865623</v>
      </c>
      <c r="C42" s="52">
        <v>9.21550813437716</v>
      </c>
      <c r="D42" s="59">
        <v>0.01710461743330048</v>
      </c>
    </row>
    <row r="43" ht="15.75" customHeight="1">
      <c r="A43" s="52">
        <v>18.0</v>
      </c>
      <c r="B43" s="52">
        <v>9989.134798225226</v>
      </c>
      <c r="C43" s="52">
        <v>-436.1347982252264</v>
      </c>
      <c r="D43" s="59">
        <v>-0.809496206200938</v>
      </c>
    </row>
    <row r="44" ht="15.75" customHeight="1">
      <c r="A44" s="52">
        <v>19.0</v>
      </c>
      <c r="B44" s="52">
        <v>9773.388337206845</v>
      </c>
      <c r="C44" s="52">
        <v>154.61166279315512</v>
      </c>
      <c r="D44" s="59">
        <v>0.2869698886096326</v>
      </c>
    </row>
    <row r="45" ht="15.75" customHeight="1">
      <c r="A45" s="52">
        <v>20.0</v>
      </c>
      <c r="B45" s="52">
        <v>9719.45172195225</v>
      </c>
      <c r="C45" s="52">
        <v>1036.5482780477505</v>
      </c>
      <c r="D45" s="59">
        <v>1.923904953326964</v>
      </c>
    </row>
    <row r="46" ht="15.75" customHeight="1">
      <c r="A46" s="52">
        <v>21.0</v>
      </c>
      <c r="B46" s="52">
        <v>9881.261567716036</v>
      </c>
      <c r="C46" s="52">
        <v>-65.26156771603564</v>
      </c>
      <c r="D46" s="59">
        <v>-0.12112996186462242</v>
      </c>
    </row>
    <row r="47" ht="15.75" customHeight="1">
      <c r="A47" s="52">
        <v>22.0</v>
      </c>
      <c r="B47" s="52">
        <v>9719.45172195225</v>
      </c>
      <c r="C47" s="52">
        <v>-590.4517219522495</v>
      </c>
      <c r="D47" s="59">
        <v>-1.095919038815901</v>
      </c>
    </row>
    <row r="48" ht="15.75" customHeight="1">
      <c r="A48" s="52">
        <v>23.0</v>
      </c>
      <c r="B48" s="52">
        <v>9989.134798225226</v>
      </c>
      <c r="C48" s="52">
        <v>-478.1347982252264</v>
      </c>
      <c r="D48" s="59">
        <v>-0.8874510972089283</v>
      </c>
    </row>
    <row r="49" ht="15.75" customHeight="1">
      <c r="A49" s="52">
        <v>24.0</v>
      </c>
      <c r="B49" s="52">
        <v>9935.198182970631</v>
      </c>
      <c r="C49" s="52">
        <v>-425.198182970631</v>
      </c>
      <c r="D49" s="59">
        <v>-0.7891970954826449</v>
      </c>
    </row>
    <row r="50" ht="15.75" customHeight="1">
      <c r="A50" s="52">
        <v>25.0</v>
      </c>
      <c r="B50" s="52">
        <v>9935.198182970631</v>
      </c>
      <c r="C50" s="52">
        <v>908.801817029369</v>
      </c>
      <c r="D50" s="59">
        <v>1.686798728437811</v>
      </c>
    </row>
    <row r="51" ht="15.75" customHeight="1">
      <c r="A51" s="53">
        <v>26.0</v>
      </c>
      <c r="B51" s="53">
        <v>9935.198182970631</v>
      </c>
      <c r="C51" s="53">
        <v>46.801817029368976</v>
      </c>
      <c r="D51" s="60">
        <v>0.08686739394048491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B3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2.71"/>
    <col customWidth="1" min="3" max="3" width="12.71"/>
    <col customWidth="1" min="4" max="4" width="16.29"/>
    <col customWidth="1" min="5" max="5" width="12.0"/>
    <col customWidth="1" min="6" max="6" width="16.0"/>
    <col customWidth="1" min="7" max="7" width="14.71"/>
    <col customWidth="1" min="8" max="8" width="13.71"/>
    <col customWidth="1" min="9" max="9" width="14.57"/>
    <col customWidth="1" min="10" max="26" width="8.71"/>
  </cols>
  <sheetData>
    <row r="1">
      <c r="A1" s="35" t="s">
        <v>152</v>
      </c>
    </row>
    <row r="3">
      <c r="A3" s="50" t="s">
        <v>153</v>
      </c>
      <c r="B3" s="51"/>
    </row>
    <row r="4">
      <c r="A4" s="52" t="s">
        <v>154</v>
      </c>
      <c r="B4" s="54">
        <v>0.6801997112718682</v>
      </c>
    </row>
    <row r="5">
      <c r="A5" s="52" t="s">
        <v>155</v>
      </c>
      <c r="B5" s="54">
        <v>0.4626716472143328</v>
      </c>
    </row>
    <row r="6">
      <c r="A6" s="52" t="s">
        <v>156</v>
      </c>
      <c r="B6" s="54">
        <v>0.43708458279596774</v>
      </c>
    </row>
    <row r="7">
      <c r="A7" s="52" t="s">
        <v>157</v>
      </c>
      <c r="B7" s="52">
        <v>436.82917365208135</v>
      </c>
    </row>
    <row r="8">
      <c r="A8" s="53" t="s">
        <v>158</v>
      </c>
      <c r="B8" s="53">
        <v>23.0</v>
      </c>
    </row>
    <row r="10">
      <c r="A10" s="35" t="s">
        <v>159</v>
      </c>
    </row>
    <row r="11">
      <c r="A11" s="50"/>
      <c r="B11" s="50" t="s">
        <v>160</v>
      </c>
      <c r="C11" s="50" t="s">
        <v>161</v>
      </c>
      <c r="D11" s="50" t="s">
        <v>162</v>
      </c>
      <c r="E11" s="50" t="s">
        <v>163</v>
      </c>
      <c r="F11" s="50" t="s">
        <v>164</v>
      </c>
    </row>
    <row r="12">
      <c r="A12" s="52" t="s">
        <v>165</v>
      </c>
      <c r="B12" s="52">
        <v>1.0</v>
      </c>
      <c r="C12" s="52">
        <v>3450449.6470187125</v>
      </c>
      <c r="D12" s="52">
        <v>3450449.6470187125</v>
      </c>
      <c r="E12" s="52">
        <v>18.082248109800762</v>
      </c>
      <c r="F12" s="61">
        <v>3.5539036519670856E-4</v>
      </c>
    </row>
    <row r="13">
      <c r="A13" s="52" t="s">
        <v>166</v>
      </c>
      <c r="B13" s="52">
        <v>21.0</v>
      </c>
      <c r="C13" s="52">
        <v>4007214.266024765</v>
      </c>
      <c r="D13" s="52">
        <v>190819.72695356025</v>
      </c>
      <c r="E13" s="52"/>
      <c r="F13" s="52"/>
    </row>
    <row r="14">
      <c r="A14" s="53" t="s">
        <v>167</v>
      </c>
      <c r="B14" s="53">
        <v>22.0</v>
      </c>
      <c r="C14" s="53">
        <v>7457663.913043478</v>
      </c>
      <c r="D14" s="53"/>
      <c r="E14" s="53"/>
      <c r="F14" s="53"/>
    </row>
    <row r="16">
      <c r="A16" s="50"/>
      <c r="B16" s="50" t="s">
        <v>168</v>
      </c>
      <c r="C16" s="50" t="s">
        <v>157</v>
      </c>
      <c r="D16" s="50" t="s">
        <v>169</v>
      </c>
      <c r="E16" s="50" t="s">
        <v>170</v>
      </c>
      <c r="F16" s="50" t="s">
        <v>171</v>
      </c>
      <c r="G16" s="50" t="s">
        <v>172</v>
      </c>
      <c r="H16" s="50" t="s">
        <v>173</v>
      </c>
      <c r="I16" s="50" t="s">
        <v>174</v>
      </c>
    </row>
    <row r="17">
      <c r="A17" s="52" t="s">
        <v>175</v>
      </c>
      <c r="B17" s="55">
        <v>8865.966103454683</v>
      </c>
      <c r="C17" s="52">
        <v>259.93669249691914</v>
      </c>
      <c r="D17" s="52">
        <v>34.108174641638044</v>
      </c>
      <c r="E17" s="54">
        <v>7.094159760662311E-20</v>
      </c>
      <c r="F17" s="55">
        <v>8325.398158985368</v>
      </c>
      <c r="G17" s="55">
        <v>9406.534047923997</v>
      </c>
      <c r="H17" s="55">
        <v>8418.681884660215</v>
      </c>
      <c r="I17" s="55">
        <v>9313.25032224915</v>
      </c>
    </row>
    <row r="18">
      <c r="A18" s="53" t="s">
        <v>183</v>
      </c>
      <c r="B18" s="57">
        <v>14.725281150613677</v>
      </c>
      <c r="C18" s="53">
        <v>3.4628795331912565</v>
      </c>
      <c r="D18" s="53">
        <v>4.252322672352228</v>
      </c>
      <c r="E18" s="62">
        <v>3.5539036519670656E-4</v>
      </c>
      <c r="F18" s="57">
        <v>7.523828930765014</v>
      </c>
      <c r="G18" s="57">
        <v>21.92673337046234</v>
      </c>
      <c r="H18" s="57">
        <v>8.766555770582313</v>
      </c>
      <c r="I18" s="57">
        <v>20.684006530645043</v>
      </c>
    </row>
    <row r="21" ht="15.75" customHeight="1">
      <c r="G21" s="63"/>
    </row>
    <row r="22" ht="15.75" customHeight="1">
      <c r="A22" s="35" t="s">
        <v>178</v>
      </c>
    </row>
    <row r="23" ht="15.75" customHeight="1"/>
    <row r="24" ht="15.75" customHeight="1">
      <c r="A24" s="50" t="s">
        <v>179</v>
      </c>
      <c r="B24" s="50" t="s">
        <v>184</v>
      </c>
      <c r="C24" s="50" t="s">
        <v>181</v>
      </c>
      <c r="D24" s="50" t="s">
        <v>182</v>
      </c>
    </row>
    <row r="25" ht="15.75" customHeight="1">
      <c r="A25" s="52">
        <v>1.0</v>
      </c>
      <c r="B25" s="55">
        <v>9572.77959868414</v>
      </c>
      <c r="C25" s="52">
        <v>27.220401315860727</v>
      </c>
      <c r="D25" s="52">
        <v>0.06378000982558056</v>
      </c>
    </row>
    <row r="26" ht="15.75" customHeight="1">
      <c r="A26" s="52">
        <v>2.0</v>
      </c>
      <c r="B26" s="55">
        <v>10632.999841528324</v>
      </c>
      <c r="C26" s="52">
        <v>-384.9998415283244</v>
      </c>
      <c r="D26" s="52">
        <v>-0.9020915375415741</v>
      </c>
    </row>
    <row r="27" ht="15.75" customHeight="1">
      <c r="A27" s="52">
        <v>3.0</v>
      </c>
      <c r="B27" s="55">
        <v>9616.95544213598</v>
      </c>
      <c r="C27" s="52">
        <v>-481.9554421359808</v>
      </c>
      <c r="D27" s="52">
        <v>-1.1292678046232136</v>
      </c>
    </row>
    <row r="28" ht="15.75" customHeight="1">
      <c r="A28" s="52">
        <v>4.0</v>
      </c>
      <c r="B28" s="55">
        <v>10574.09871692587</v>
      </c>
      <c r="C28" s="52">
        <v>-120.09871692586967</v>
      </c>
      <c r="D28" s="52">
        <v>-0.2814028072800063</v>
      </c>
    </row>
    <row r="29" ht="15.75" customHeight="1">
      <c r="A29" s="52">
        <v>5.0</v>
      </c>
      <c r="B29" s="55">
        <v>9837.834659395185</v>
      </c>
      <c r="C29" s="52">
        <v>-445.83465939518464</v>
      </c>
      <c r="D29" s="52">
        <v>-1.0446333478647354</v>
      </c>
    </row>
    <row r="30" ht="15.75" customHeight="1">
      <c r="A30" s="52">
        <v>6.0</v>
      </c>
      <c r="B30" s="55">
        <v>9793.658815943345</v>
      </c>
      <c r="C30" s="52">
        <v>-425.65881594334496</v>
      </c>
      <c r="D30" s="52">
        <v>-0.9973594124562992</v>
      </c>
    </row>
    <row r="31" ht="15.75" customHeight="1">
      <c r="A31" s="52">
        <v>7.0</v>
      </c>
      <c r="B31" s="55">
        <v>9867.285221696413</v>
      </c>
      <c r="C31" s="52">
        <v>826.7147783035871</v>
      </c>
      <c r="D31" s="52">
        <v>1.9370719803617322</v>
      </c>
    </row>
    <row r="32" ht="15.75" customHeight="1">
      <c r="A32" s="52">
        <v>8.0</v>
      </c>
      <c r="B32" s="55">
        <v>10382.670061967892</v>
      </c>
      <c r="C32" s="52">
        <v>798.3299380321077</v>
      </c>
      <c r="D32" s="52">
        <v>1.8705635784316836</v>
      </c>
    </row>
    <row r="33" ht="15.75" customHeight="1">
      <c r="A33" s="52">
        <v>9.0</v>
      </c>
      <c r="B33" s="55">
        <v>9661.13128558782</v>
      </c>
      <c r="C33" s="52">
        <v>979.8687144121795</v>
      </c>
      <c r="D33" s="52">
        <v>2.2959263350967842</v>
      </c>
    </row>
    <row r="34" ht="15.75" customHeight="1">
      <c r="A34" s="52">
        <v>10.0</v>
      </c>
      <c r="B34" s="55">
        <v>9823.109378244571</v>
      </c>
      <c r="C34" s="52">
        <v>-396.1093782445714</v>
      </c>
      <c r="D34" s="52">
        <v>-0.9281222471074546</v>
      </c>
    </row>
    <row r="35" ht="15.75" customHeight="1">
      <c r="A35" s="52">
        <v>11.0</v>
      </c>
      <c r="B35" s="55">
        <v>9867.285221696413</v>
      </c>
      <c r="C35" s="52">
        <v>-250.28522169641292</v>
      </c>
      <c r="D35" s="52">
        <v>-0.5864422685676358</v>
      </c>
    </row>
    <row r="36" ht="15.75" customHeight="1">
      <c r="A36" s="52">
        <v>12.0</v>
      </c>
      <c r="B36" s="55">
        <v>9631.680723286594</v>
      </c>
      <c r="C36" s="52">
        <v>266.319276713406</v>
      </c>
      <c r="D36" s="52">
        <v>0.6240115966117393</v>
      </c>
    </row>
    <row r="37" ht="15.75" customHeight="1">
      <c r="A37" s="52">
        <v>13.0</v>
      </c>
      <c r="B37" s="55">
        <v>9749.482972491503</v>
      </c>
      <c r="C37" s="52">
        <v>-29.48297249150346</v>
      </c>
      <c r="D37" s="52">
        <v>-0.0690814309963803</v>
      </c>
    </row>
    <row r="38" ht="15.75" customHeight="1">
      <c r="A38" s="52">
        <v>14.0</v>
      </c>
      <c r="B38" s="55">
        <v>9469.702630629843</v>
      </c>
      <c r="C38" s="52">
        <v>-14.702630629843043</v>
      </c>
      <c r="D38" s="52">
        <v>-0.03444967306513862</v>
      </c>
    </row>
    <row r="39" ht="15.75" customHeight="1">
      <c r="A39" s="52">
        <v>15.0</v>
      </c>
      <c r="B39" s="55">
        <v>10559.373435775255</v>
      </c>
      <c r="C39" s="52">
        <v>46.62656422474538</v>
      </c>
      <c r="D39" s="52">
        <v>0.1092505099347867</v>
      </c>
    </row>
    <row r="40" ht="15.75" customHeight="1">
      <c r="A40" s="52">
        <v>16.0</v>
      </c>
      <c r="B40" s="55">
        <v>10824.428496486302</v>
      </c>
      <c r="C40" s="52">
        <v>38.57150351369819</v>
      </c>
      <c r="D40" s="52">
        <v>0.09037673047302375</v>
      </c>
    </row>
    <row r="41" ht="15.75" customHeight="1">
      <c r="A41" s="52">
        <v>17.0</v>
      </c>
      <c r="B41" s="55">
        <v>9558.054317533526</v>
      </c>
      <c r="C41" s="52">
        <v>-5.054317533526046</v>
      </c>
      <c r="D41" s="52">
        <v>-0.011842750524110043</v>
      </c>
    </row>
    <row r="42" ht="15.75" customHeight="1">
      <c r="A42" s="52">
        <v>18.0</v>
      </c>
      <c r="B42" s="55">
        <v>9823.109378244571</v>
      </c>
      <c r="C42" s="52">
        <v>104.89062175542858</v>
      </c>
      <c r="D42" s="52">
        <v>0.2457687823387974</v>
      </c>
    </row>
    <row r="43" ht="15.75" customHeight="1">
      <c r="A43" s="52">
        <v>19.0</v>
      </c>
      <c r="B43" s="55">
        <v>9852.5599405458</v>
      </c>
      <c r="C43" s="52">
        <v>-36.55994054579969</v>
      </c>
      <c r="D43" s="52">
        <v>-0.08566344559641231</v>
      </c>
    </row>
    <row r="44" ht="15.75" customHeight="1">
      <c r="A44" s="52">
        <v>20.0</v>
      </c>
      <c r="B44" s="55">
        <v>9778.93353479273</v>
      </c>
      <c r="C44" s="52">
        <v>-649.9335347927299</v>
      </c>
      <c r="D44" s="52">
        <v>-1.5228565793003577</v>
      </c>
    </row>
    <row r="45" ht="15.75" customHeight="1">
      <c r="A45" s="52">
        <v>21.0</v>
      </c>
      <c r="B45" s="55">
        <v>9602.230160985366</v>
      </c>
      <c r="C45" s="52">
        <v>-91.23016098536573</v>
      </c>
      <c r="D45" s="52">
        <v>-0.21376101316498658</v>
      </c>
    </row>
    <row r="46" ht="15.75" customHeight="1">
      <c r="A46" s="52">
        <v>22.0</v>
      </c>
      <c r="B46" s="55">
        <v>9690.581847889049</v>
      </c>
      <c r="C46" s="52">
        <v>-180.58184788904873</v>
      </c>
      <c r="D46" s="52">
        <v>-0.42312058147261855</v>
      </c>
    </row>
    <row r="47" ht="15.75" customHeight="1">
      <c r="A47" s="53">
        <v>23.0</v>
      </c>
      <c r="B47" s="57">
        <v>9558.054317533526</v>
      </c>
      <c r="C47" s="53">
        <v>423.94568246647395</v>
      </c>
      <c r="D47" s="53">
        <v>0.9933453764867525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B3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2.71"/>
    <col customWidth="1" min="3" max="3" width="12.71"/>
    <col customWidth="1" min="4" max="4" width="16.29"/>
    <col customWidth="1" min="5" max="5" width="12.0"/>
    <col customWidth="1" min="6" max="6" width="16.0"/>
    <col customWidth="1" min="7" max="7" width="14.71"/>
    <col customWidth="1" min="8" max="8" width="13.71"/>
    <col customWidth="1" min="9" max="9" width="14.57"/>
    <col customWidth="1" min="10" max="26" width="8.71"/>
  </cols>
  <sheetData>
    <row r="1">
      <c r="A1" s="35" t="s">
        <v>152</v>
      </c>
    </row>
    <row r="3">
      <c r="A3" s="50" t="s">
        <v>153</v>
      </c>
      <c r="B3" s="51"/>
    </row>
    <row r="4">
      <c r="A4" s="52" t="s">
        <v>154</v>
      </c>
      <c r="B4" s="54">
        <v>0.6907662929978308</v>
      </c>
    </row>
    <row r="5">
      <c r="A5" s="52" t="s">
        <v>155</v>
      </c>
      <c r="B5" s="54">
        <v>0.47715807154196493</v>
      </c>
    </row>
    <row r="6">
      <c r="A6" s="52" t="s">
        <v>156</v>
      </c>
      <c r="B6" s="54">
        <v>0.3946040828380647</v>
      </c>
    </row>
    <row r="7">
      <c r="A7" s="52" t="s">
        <v>157</v>
      </c>
      <c r="B7" s="52">
        <v>477.71835664852733</v>
      </c>
    </row>
    <row r="8">
      <c r="A8" s="53" t="s">
        <v>158</v>
      </c>
      <c r="B8" s="53">
        <v>23.0</v>
      </c>
    </row>
    <row r="10">
      <c r="A10" s="35" t="s">
        <v>159</v>
      </c>
    </row>
    <row r="11">
      <c r="A11" s="50"/>
      <c r="B11" s="50" t="s">
        <v>160</v>
      </c>
      <c r="C11" s="50" t="s">
        <v>161</v>
      </c>
      <c r="D11" s="50" t="s">
        <v>162</v>
      </c>
      <c r="E11" s="50" t="s">
        <v>163</v>
      </c>
      <c r="F11" s="50" t="s">
        <v>164</v>
      </c>
    </row>
    <row r="12">
      <c r="A12" s="52" t="s">
        <v>165</v>
      </c>
      <c r="B12" s="52">
        <v>3.0</v>
      </c>
      <c r="C12" s="52">
        <v>3957212.088786537</v>
      </c>
      <c r="D12" s="52">
        <v>1319070.696262179</v>
      </c>
      <c r="E12" s="52">
        <v>5.779951750767696</v>
      </c>
      <c r="F12" s="56">
        <v>0.00553231448924497</v>
      </c>
    </row>
    <row r="13">
      <c r="A13" s="52" t="s">
        <v>166</v>
      </c>
      <c r="B13" s="52">
        <v>19.0</v>
      </c>
      <c r="C13" s="52">
        <v>4336081.737300421</v>
      </c>
      <c r="D13" s="52">
        <v>228214.82827896954</v>
      </c>
      <c r="E13" s="52"/>
      <c r="F13" s="52"/>
    </row>
    <row r="14">
      <c r="A14" s="53" t="s">
        <v>167</v>
      </c>
      <c r="B14" s="53">
        <v>22.0</v>
      </c>
      <c r="C14" s="53">
        <v>8293293.826086958</v>
      </c>
      <c r="D14" s="53"/>
      <c r="E14" s="53"/>
      <c r="F14" s="53"/>
    </row>
    <row r="16">
      <c r="A16" s="50"/>
      <c r="B16" s="50" t="s">
        <v>168</v>
      </c>
      <c r="C16" s="50" t="s">
        <v>157</v>
      </c>
      <c r="D16" s="50" t="s">
        <v>169</v>
      </c>
      <c r="E16" s="50" t="s">
        <v>170</v>
      </c>
      <c r="F16" s="50" t="s">
        <v>171</v>
      </c>
      <c r="G16" s="50" t="s">
        <v>172</v>
      </c>
      <c r="H16" s="50" t="s">
        <v>173</v>
      </c>
      <c r="I16" s="50" t="s">
        <v>174</v>
      </c>
    </row>
    <row r="17">
      <c r="A17" s="52" t="s">
        <v>175</v>
      </c>
      <c r="B17" s="52">
        <v>8586.196706442308</v>
      </c>
      <c r="C17" s="52">
        <v>345.18724007311033</v>
      </c>
      <c r="D17" s="52">
        <v>24.874026932814086</v>
      </c>
      <c r="E17" s="56">
        <v>5.847608866598376E-16</v>
      </c>
      <c r="F17" s="55">
        <v>7863.711509694472</v>
      </c>
      <c r="G17" s="55">
        <v>9308.681903190143</v>
      </c>
      <c r="H17" s="55">
        <v>7989.322123513389</v>
      </c>
      <c r="I17" s="55">
        <v>9183.071289371228</v>
      </c>
    </row>
    <row r="18">
      <c r="A18" s="52" t="s">
        <v>25</v>
      </c>
      <c r="B18" s="52">
        <v>74.78995274709024</v>
      </c>
      <c r="C18" s="52">
        <v>36.08207346430962</v>
      </c>
      <c r="D18" s="52">
        <v>2.0727731409634287</v>
      </c>
      <c r="E18" s="56">
        <v>0.0520394139587563</v>
      </c>
      <c r="F18" s="55">
        <v>-0.7306949466375698</v>
      </c>
      <c r="G18" s="55">
        <v>150.31060044081806</v>
      </c>
      <c r="H18" s="55">
        <v>12.399255612227932</v>
      </c>
      <c r="I18" s="55">
        <v>137.18064988195255</v>
      </c>
    </row>
    <row r="19">
      <c r="A19" s="52" t="s">
        <v>26</v>
      </c>
      <c r="B19" s="52">
        <v>-2.079914468881986</v>
      </c>
      <c r="C19" s="52">
        <v>12.752160444354042</v>
      </c>
      <c r="D19" s="52">
        <v>-0.16310290934293087</v>
      </c>
      <c r="E19" s="56">
        <v>0.8721597173928943</v>
      </c>
      <c r="F19" s="55">
        <v>-28.77049302458915</v>
      </c>
      <c r="G19" s="55">
        <v>24.61066408682518</v>
      </c>
      <c r="H19" s="55">
        <v>-24.130093510999487</v>
      </c>
      <c r="I19" s="55">
        <v>19.970264573235518</v>
      </c>
    </row>
    <row r="20">
      <c r="A20" s="53" t="s">
        <v>24</v>
      </c>
      <c r="B20" s="53">
        <v>-138.0337584720901</v>
      </c>
      <c r="C20" s="53">
        <v>121.83818907362581</v>
      </c>
      <c r="D20" s="53">
        <v>-1.132926872285318</v>
      </c>
      <c r="E20" s="58">
        <v>0.27133960504450394</v>
      </c>
      <c r="F20" s="57">
        <v>-393.0440189487366</v>
      </c>
      <c r="G20" s="57">
        <v>116.97650200455641</v>
      </c>
      <c r="H20" s="57">
        <v>-348.70816889564094</v>
      </c>
      <c r="I20" s="57">
        <v>72.64065195146071</v>
      </c>
    </row>
    <row r="21" ht="15.75" customHeight="1"/>
    <row r="22" ht="15.75" customHeight="1"/>
    <row r="23" ht="15.75" customHeight="1"/>
    <row r="24" ht="15.75" customHeight="1">
      <c r="A24" s="35" t="s">
        <v>178</v>
      </c>
    </row>
    <row r="25" ht="15.75" customHeight="1"/>
    <row r="26" ht="15.75" customHeight="1">
      <c r="A26" s="50" t="s">
        <v>179</v>
      </c>
      <c r="B26" s="50" t="s">
        <v>184</v>
      </c>
      <c r="C26" s="50" t="s">
        <v>181</v>
      </c>
      <c r="D26" s="50" t="s">
        <v>182</v>
      </c>
    </row>
    <row r="27" ht="15.75" customHeight="1">
      <c r="A27" s="52">
        <v>1.0</v>
      </c>
      <c r="B27" s="52">
        <v>9763.910053176709</v>
      </c>
      <c r="C27" s="52">
        <v>-163.91005317670897</v>
      </c>
      <c r="D27" s="52">
        <v>-0.36920553352666735</v>
      </c>
    </row>
    <row r="28" ht="15.75" customHeight="1">
      <c r="A28" s="52">
        <v>2.0</v>
      </c>
      <c r="B28" s="52">
        <v>10637.583655080265</v>
      </c>
      <c r="C28" s="52">
        <v>-389.5836550802651</v>
      </c>
      <c r="D28" s="52">
        <v>-0.8775327592146561</v>
      </c>
    </row>
    <row r="29" ht="15.75" customHeight="1">
      <c r="A29" s="52">
        <v>3.0</v>
      </c>
      <c r="B29" s="52">
        <v>9621.716465766856</v>
      </c>
      <c r="C29" s="52">
        <v>-486.71646576685634</v>
      </c>
      <c r="D29" s="52">
        <v>-1.0963233123104168</v>
      </c>
    </row>
    <row r="30" ht="15.75" customHeight="1">
      <c r="A30" s="52">
        <v>4.0</v>
      </c>
      <c r="B30" s="52">
        <v>10551.247555311083</v>
      </c>
      <c r="C30" s="52">
        <v>-97.24755531108349</v>
      </c>
      <c r="D30" s="52">
        <v>-0.21904901405946559</v>
      </c>
    </row>
    <row r="31" ht="15.75" customHeight="1">
      <c r="A31" s="52">
        <v>5.0</v>
      </c>
      <c r="B31" s="52">
        <v>10033.951061600723</v>
      </c>
      <c r="C31" s="52">
        <v>-641.9510616007228</v>
      </c>
      <c r="D31" s="52">
        <v>-1.445987476685072</v>
      </c>
    </row>
    <row r="32" ht="15.75" customHeight="1">
      <c r="A32" s="52">
        <v>6.0</v>
      </c>
      <c r="B32" s="52">
        <v>9691.41324978498</v>
      </c>
      <c r="C32" s="52">
        <v>-323.4132497849805</v>
      </c>
      <c r="D32" s="52">
        <v>-0.7284846726742703</v>
      </c>
    </row>
    <row r="33" ht="15.75" customHeight="1">
      <c r="A33" s="52">
        <v>7.0</v>
      </c>
      <c r="B33" s="52">
        <v>9893.837388659753</v>
      </c>
      <c r="C33" s="52">
        <v>800.1626113402472</v>
      </c>
      <c r="D33" s="52">
        <v>1.8023571959279072</v>
      </c>
    </row>
    <row r="34" ht="15.75" customHeight="1">
      <c r="A34" s="52">
        <v>8.0</v>
      </c>
      <c r="B34" s="52">
        <v>10596.072333835287</v>
      </c>
      <c r="C34" s="52">
        <v>584.9276661647127</v>
      </c>
      <c r="D34" s="52">
        <v>1.3175429259853237</v>
      </c>
    </row>
    <row r="35" ht="15.75" customHeight="1">
      <c r="A35" s="52">
        <v>9.0</v>
      </c>
      <c r="B35" s="52">
        <v>9769.216456792154</v>
      </c>
      <c r="C35" s="52">
        <v>871.7835432078464</v>
      </c>
      <c r="D35" s="52">
        <v>1.9636825316798663</v>
      </c>
    </row>
    <row r="36" ht="15.75" customHeight="1">
      <c r="A36" s="52">
        <v>10.0</v>
      </c>
      <c r="B36" s="52">
        <v>9669.467530418482</v>
      </c>
      <c r="C36" s="52">
        <v>-242.46753041848206</v>
      </c>
      <c r="D36" s="52">
        <v>-0.5461553589671438</v>
      </c>
    </row>
    <row r="37" ht="15.75" customHeight="1">
      <c r="A37" s="52">
        <v>11.0</v>
      </c>
      <c r="B37" s="52">
        <v>9604.143810224597</v>
      </c>
      <c r="C37" s="52">
        <v>12.856189775402527</v>
      </c>
      <c r="D37" s="52">
        <v>0.028958421482728473</v>
      </c>
    </row>
    <row r="38" ht="15.75" customHeight="1">
      <c r="A38" s="52">
        <v>12.0</v>
      </c>
      <c r="B38" s="52">
        <v>9542.766684082002</v>
      </c>
      <c r="C38" s="52">
        <v>355.23331591799797</v>
      </c>
      <c r="D38" s="52">
        <v>0.8001590103113221</v>
      </c>
    </row>
    <row r="39" ht="15.75" customHeight="1">
      <c r="A39" s="52">
        <v>13.0</v>
      </c>
      <c r="B39" s="52">
        <v>9602.997235546918</v>
      </c>
      <c r="C39" s="52">
        <v>117.00276445308191</v>
      </c>
      <c r="D39" s="52">
        <v>0.26354739832476237</v>
      </c>
    </row>
    <row r="40" ht="15.75" customHeight="1">
      <c r="A40" s="52">
        <v>14.0</v>
      </c>
      <c r="B40" s="52">
        <v>9701.59958724291</v>
      </c>
      <c r="C40" s="52">
        <v>-246.59958724291027</v>
      </c>
      <c r="D40" s="52">
        <v>-0.5554627700432712</v>
      </c>
    </row>
    <row r="41" ht="15.75" customHeight="1">
      <c r="A41" s="52">
        <v>15.0</v>
      </c>
      <c r="B41" s="52">
        <v>10571.113360208703</v>
      </c>
      <c r="C41" s="52">
        <v>34.88663979129706</v>
      </c>
      <c r="D41" s="52">
        <v>0.07858175998034966</v>
      </c>
    </row>
    <row r="42" ht="15.75" customHeight="1">
      <c r="A42" s="52">
        <v>16.0</v>
      </c>
      <c r="B42" s="52">
        <v>10977.108212635923</v>
      </c>
      <c r="C42" s="52">
        <v>-114.10821263592334</v>
      </c>
      <c r="D42" s="52">
        <v>-0.25702745322522363</v>
      </c>
    </row>
    <row r="43" ht="15.75" customHeight="1">
      <c r="A43" s="52">
        <v>17.0</v>
      </c>
      <c r="B43" s="52">
        <v>9937.515592506274</v>
      </c>
      <c r="C43" s="52">
        <v>-384.5155925062736</v>
      </c>
      <c r="D43" s="52">
        <v>-0.866117005816298</v>
      </c>
    </row>
    <row r="44" ht="15.75" customHeight="1">
      <c r="A44" s="52">
        <v>18.0</v>
      </c>
      <c r="B44" s="52">
        <v>9592.597663202509</v>
      </c>
      <c r="C44" s="52">
        <v>335.40233679749144</v>
      </c>
      <c r="D44" s="52">
        <v>0.7554899550298294</v>
      </c>
    </row>
    <row r="45" ht="15.75" customHeight="1">
      <c r="A45" s="52">
        <v>19.0</v>
      </c>
      <c r="B45" s="52">
        <v>9386.013695389973</v>
      </c>
      <c r="C45" s="52">
        <v>-257.0136953899728</v>
      </c>
      <c r="D45" s="52">
        <v>-0.5789204303888232</v>
      </c>
    </row>
    <row r="46" ht="15.75" customHeight="1">
      <c r="A46" s="52">
        <v>20.0</v>
      </c>
      <c r="B46" s="52">
        <v>9931.275849099628</v>
      </c>
      <c r="C46" s="52">
        <v>-420.2758490996275</v>
      </c>
      <c r="D46" s="52">
        <v>-0.9466665777230677</v>
      </c>
    </row>
    <row r="47" ht="15.75" customHeight="1">
      <c r="A47" s="52">
        <v>21.0</v>
      </c>
      <c r="B47" s="52">
        <v>9841.926495070364</v>
      </c>
      <c r="C47" s="52">
        <v>-331.92649507036367</v>
      </c>
      <c r="D47" s="52">
        <v>-0.7476606610088278</v>
      </c>
    </row>
    <row r="48" ht="15.75" customHeight="1">
      <c r="A48" s="52">
        <v>22.0</v>
      </c>
      <c r="B48" s="52">
        <v>9977.88033907357</v>
      </c>
      <c r="C48" s="52">
        <v>866.1196609264298</v>
      </c>
      <c r="D48" s="52">
        <v>1.9509247011562667</v>
      </c>
    </row>
    <row r="49" ht="15.75" customHeight="1">
      <c r="A49" s="53">
        <v>23.0</v>
      </c>
      <c r="B49" s="53">
        <v>9860.6457252903</v>
      </c>
      <c r="C49" s="53">
        <v>121.3542747096999</v>
      </c>
      <c r="D49" s="53">
        <v>0.27334912576492953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J56" s="64" t="s">
        <v>21</v>
      </c>
      <c r="K56" s="64" t="s">
        <v>34</v>
      </c>
      <c r="N56" s="65" t="s">
        <v>21</v>
      </c>
      <c r="O56" s="65" t="s">
        <v>34</v>
      </c>
    </row>
    <row r="57" ht="15.75" customHeight="1">
      <c r="I57" s="35" t="b">
        <f t="shared" ref="I57:I179" si="1">J57=N57</f>
        <v>1</v>
      </c>
      <c r="J57" s="66">
        <v>4.0</v>
      </c>
      <c r="K57" s="67">
        <v>8451.0</v>
      </c>
      <c r="N57" s="68">
        <v>4.0</v>
      </c>
      <c r="O57" s="68">
        <v>8501.0</v>
      </c>
    </row>
    <row r="58" ht="15.75" customHeight="1">
      <c r="I58" s="35" t="b">
        <f t="shared" si="1"/>
        <v>1</v>
      </c>
      <c r="J58" s="69">
        <v>1.0</v>
      </c>
      <c r="K58" s="70">
        <v>5417.0</v>
      </c>
      <c r="N58" s="68">
        <v>1.0</v>
      </c>
      <c r="O58" s="68">
        <v>5102.0</v>
      </c>
    </row>
    <row r="59" ht="15.75" customHeight="1">
      <c r="I59" s="35" t="b">
        <f t="shared" si="1"/>
        <v>1</v>
      </c>
      <c r="J59" s="66">
        <v>4.0</v>
      </c>
      <c r="K59" s="67">
        <v>8383.0</v>
      </c>
      <c r="N59" s="68">
        <v>4.0</v>
      </c>
      <c r="O59" s="68">
        <v>8933.0</v>
      </c>
    </row>
    <row r="60" ht="15.75" customHeight="1">
      <c r="I60" s="35" t="b">
        <f t="shared" si="1"/>
        <v>1</v>
      </c>
      <c r="J60" s="69">
        <v>1.0</v>
      </c>
      <c r="K60" s="70">
        <v>5938.0</v>
      </c>
      <c r="N60" s="68">
        <v>1.0</v>
      </c>
      <c r="O60" s="68">
        <v>5450.0</v>
      </c>
    </row>
    <row r="61" ht="15.75" customHeight="1">
      <c r="I61" s="35" t="b">
        <f t="shared" si="1"/>
        <v>1</v>
      </c>
      <c r="J61" s="71">
        <v>1.0</v>
      </c>
      <c r="K61" s="72">
        <v>5551.0</v>
      </c>
      <c r="N61" s="68">
        <v>1.0</v>
      </c>
      <c r="O61" s="68">
        <v>5200.0</v>
      </c>
    </row>
    <row r="62" ht="15.75" customHeight="1">
      <c r="I62" s="35" t="b">
        <f t="shared" si="1"/>
        <v>1</v>
      </c>
      <c r="J62" s="66">
        <v>4.0</v>
      </c>
      <c r="K62" s="67">
        <v>8815.0</v>
      </c>
      <c r="N62" s="68">
        <v>4.0</v>
      </c>
      <c r="O62" s="68">
        <v>8111.0</v>
      </c>
    </row>
    <row r="63" ht="15.75" customHeight="1">
      <c r="I63" s="35" t="b">
        <f t="shared" si="1"/>
        <v>1</v>
      </c>
      <c r="J63" s="69">
        <v>1.0</v>
      </c>
      <c r="K63" s="70">
        <v>5903.0</v>
      </c>
      <c r="N63" s="68">
        <v>1.0</v>
      </c>
      <c r="O63" s="68">
        <v>5888.0</v>
      </c>
    </row>
    <row r="64" ht="15.75" customHeight="1">
      <c r="I64" s="35" t="b">
        <f t="shared" si="1"/>
        <v>1</v>
      </c>
      <c r="J64" s="66">
        <v>4.0</v>
      </c>
      <c r="K64" s="67">
        <v>8055.0</v>
      </c>
      <c r="N64" s="68">
        <v>4.0</v>
      </c>
      <c r="O64" s="68">
        <v>8222.0</v>
      </c>
    </row>
    <row r="65" ht="15.75" customHeight="1">
      <c r="I65" s="35" t="b">
        <f t="shared" si="1"/>
        <v>1</v>
      </c>
      <c r="J65" s="69">
        <v>1.0</v>
      </c>
      <c r="K65" s="70">
        <v>5445.0</v>
      </c>
      <c r="N65" s="68">
        <v>1.0</v>
      </c>
      <c r="O65" s="68">
        <v>5999.0</v>
      </c>
    </row>
    <row r="66" ht="15.75" customHeight="1">
      <c r="I66" s="35" t="b">
        <f t="shared" si="1"/>
        <v>1</v>
      </c>
      <c r="J66" s="71">
        <v>2.0</v>
      </c>
      <c r="K66" s="72">
        <v>6588.0</v>
      </c>
      <c r="N66" s="68">
        <v>2.0</v>
      </c>
      <c r="O66" s="68">
        <v>6500.0</v>
      </c>
    </row>
    <row r="67" ht="15.75" customHeight="1">
      <c r="I67" s="35" t="b">
        <f t="shared" si="1"/>
        <v>1</v>
      </c>
      <c r="J67" s="66">
        <v>4.0</v>
      </c>
      <c r="K67" s="67">
        <v>8460.0</v>
      </c>
      <c r="N67" s="68">
        <v>4.0</v>
      </c>
      <c r="O67" s="68">
        <v>8765.0</v>
      </c>
    </row>
    <row r="68" ht="15.75" customHeight="1">
      <c r="I68" s="35" t="b">
        <f t="shared" si="1"/>
        <v>1</v>
      </c>
      <c r="J68" s="69">
        <v>1.0</v>
      </c>
      <c r="K68" s="70">
        <v>5224.0</v>
      </c>
      <c r="N68" s="68">
        <v>1.0</v>
      </c>
      <c r="O68" s="68">
        <v>5321.0</v>
      </c>
    </row>
    <row r="69" ht="15.75" customHeight="1">
      <c r="I69" s="35" t="b">
        <f t="shared" si="1"/>
        <v>1</v>
      </c>
      <c r="J69" s="66">
        <v>4.0</v>
      </c>
      <c r="K69" s="67">
        <v>8512.0</v>
      </c>
      <c r="N69" s="68">
        <v>4.0</v>
      </c>
      <c r="O69" s="68">
        <v>8432.0</v>
      </c>
    </row>
    <row r="70" ht="15.75" customHeight="1">
      <c r="I70" s="35" t="b">
        <f t="shared" si="1"/>
        <v>1</v>
      </c>
      <c r="J70" s="69">
        <v>1.0</v>
      </c>
      <c r="K70" s="70">
        <v>5691.0</v>
      </c>
      <c r="N70" s="68">
        <v>1.0</v>
      </c>
      <c r="O70" s="68">
        <v>5678.0</v>
      </c>
    </row>
    <row r="71" ht="15.75" customHeight="1">
      <c r="I71" s="35" t="b">
        <f t="shared" si="1"/>
        <v>1</v>
      </c>
      <c r="J71" s="71">
        <v>1.0</v>
      </c>
      <c r="K71" s="72">
        <v>5706.0</v>
      </c>
      <c r="N71" s="68">
        <v>1.0</v>
      </c>
      <c r="O71" s="68">
        <v>5123.0</v>
      </c>
    </row>
    <row r="72" ht="15.75" customHeight="1">
      <c r="I72" s="35" t="b">
        <f t="shared" si="1"/>
        <v>1</v>
      </c>
      <c r="J72" s="66">
        <v>4.0</v>
      </c>
      <c r="K72" s="67">
        <v>8620.0</v>
      </c>
      <c r="N72" s="68">
        <v>4.0</v>
      </c>
      <c r="O72" s="68">
        <v>8888.0</v>
      </c>
    </row>
    <row r="73" ht="15.75" customHeight="1">
      <c r="I73" s="35" t="b">
        <f t="shared" si="1"/>
        <v>1</v>
      </c>
      <c r="J73" s="69">
        <v>1.0</v>
      </c>
      <c r="K73" s="70">
        <v>5604.0</v>
      </c>
      <c r="N73" s="68">
        <v>1.0</v>
      </c>
      <c r="O73" s="68">
        <v>5234.0</v>
      </c>
    </row>
    <row r="74" ht="15.75" customHeight="1">
      <c r="I74" s="35" t="b">
        <f t="shared" si="1"/>
        <v>1</v>
      </c>
      <c r="J74" s="66">
        <v>4.0</v>
      </c>
      <c r="K74" s="67">
        <v>8035.0</v>
      </c>
      <c r="N74" s="68">
        <v>4.0</v>
      </c>
      <c r="O74" s="68">
        <v>8901.0</v>
      </c>
    </row>
    <row r="75" ht="15.75" customHeight="1">
      <c r="I75" s="35" t="b">
        <f t="shared" si="1"/>
        <v>1</v>
      </c>
      <c r="J75" s="69">
        <v>1.0</v>
      </c>
      <c r="K75" s="70">
        <v>5915.0</v>
      </c>
      <c r="N75" s="68">
        <v>1.0</v>
      </c>
      <c r="O75" s="68">
        <v>5432.0</v>
      </c>
    </row>
    <row r="76" ht="15.75" customHeight="1">
      <c r="I76" s="35" t="b">
        <f t="shared" si="1"/>
        <v>1</v>
      </c>
      <c r="J76" s="66">
        <v>5.0</v>
      </c>
      <c r="K76" s="67">
        <v>9650.0</v>
      </c>
      <c r="N76" s="68">
        <v>5.0</v>
      </c>
      <c r="O76" s="68">
        <v>9123.0</v>
      </c>
    </row>
    <row r="77" ht="15.75" customHeight="1">
      <c r="I77" s="35" t="b">
        <f t="shared" si="1"/>
        <v>1</v>
      </c>
      <c r="J77" s="69">
        <v>1.0</v>
      </c>
      <c r="K77" s="70">
        <v>5659.0</v>
      </c>
      <c r="N77" s="68">
        <v>1.0</v>
      </c>
      <c r="O77" s="68">
        <v>5800.0</v>
      </c>
    </row>
    <row r="78" ht="15.75" customHeight="1">
      <c r="I78" s="35" t="b">
        <f t="shared" si="1"/>
        <v>1</v>
      </c>
      <c r="J78" s="71">
        <v>2.0</v>
      </c>
      <c r="K78" s="72">
        <v>6238.0</v>
      </c>
      <c r="N78" s="68">
        <v>2.0</v>
      </c>
      <c r="O78" s="68">
        <v>6200.0</v>
      </c>
    </row>
    <row r="79" ht="15.75" customHeight="1">
      <c r="I79" s="35" t="b">
        <f t="shared" si="1"/>
        <v>1</v>
      </c>
      <c r="J79" s="66">
        <v>4.0</v>
      </c>
      <c r="K79" s="67">
        <v>8628.0</v>
      </c>
      <c r="N79" s="68">
        <v>4.0</v>
      </c>
      <c r="O79" s="68">
        <v>8100.0</v>
      </c>
    </row>
    <row r="80" ht="15.75" customHeight="1">
      <c r="I80" s="35" t="b">
        <f t="shared" si="1"/>
        <v>1</v>
      </c>
      <c r="J80" s="69">
        <v>1.0</v>
      </c>
      <c r="K80" s="70">
        <v>5885.0</v>
      </c>
      <c r="N80" s="68">
        <v>1.0</v>
      </c>
      <c r="O80" s="68">
        <v>5900.0</v>
      </c>
    </row>
    <row r="81" ht="15.75" customHeight="1">
      <c r="I81" s="35" t="b">
        <f t="shared" si="1"/>
        <v>1</v>
      </c>
      <c r="J81" s="71">
        <v>1.0</v>
      </c>
      <c r="K81" s="72">
        <v>5797.0</v>
      </c>
      <c r="N81" s="68">
        <v>1.0</v>
      </c>
      <c r="O81" s="68">
        <v>5210.0</v>
      </c>
    </row>
    <row r="82" ht="15.75" customHeight="1">
      <c r="I82" s="35" t="b">
        <f t="shared" si="1"/>
        <v>1</v>
      </c>
      <c r="J82" s="66">
        <v>5.0</v>
      </c>
      <c r="K82" s="67">
        <v>9030.0</v>
      </c>
      <c r="N82" s="68">
        <v>5.0</v>
      </c>
      <c r="O82" s="68">
        <v>9800.0</v>
      </c>
    </row>
    <row r="83" ht="15.75" customHeight="1">
      <c r="I83" s="35" t="b">
        <f t="shared" si="1"/>
        <v>1</v>
      </c>
      <c r="J83" s="69">
        <v>1.0</v>
      </c>
      <c r="K83" s="70">
        <v>5732.0</v>
      </c>
      <c r="N83" s="68">
        <v>1.0</v>
      </c>
      <c r="O83" s="68">
        <v>5150.0</v>
      </c>
    </row>
    <row r="84" ht="15.75" customHeight="1">
      <c r="I84" s="35" t="b">
        <f t="shared" si="1"/>
        <v>1</v>
      </c>
      <c r="J84" s="66">
        <v>4.0</v>
      </c>
      <c r="K84" s="67">
        <v>8166.0</v>
      </c>
      <c r="N84" s="68">
        <v>4.0</v>
      </c>
      <c r="O84" s="68">
        <v>8300.0</v>
      </c>
    </row>
    <row r="85" ht="15.75" customHeight="1">
      <c r="I85" s="35" t="b">
        <f t="shared" si="1"/>
        <v>1</v>
      </c>
      <c r="J85" s="69">
        <v>1.0</v>
      </c>
      <c r="K85" s="70">
        <v>5442.0</v>
      </c>
      <c r="N85" s="68">
        <v>1.0</v>
      </c>
      <c r="O85" s="68">
        <v>5700.0</v>
      </c>
    </row>
    <row r="86" ht="15.75" customHeight="1">
      <c r="I86" s="35" t="b">
        <f t="shared" si="1"/>
        <v>1</v>
      </c>
      <c r="J86" s="66">
        <v>4.0</v>
      </c>
      <c r="K86" s="67">
        <v>8608.0</v>
      </c>
      <c r="N86" s="68">
        <v>4.0</v>
      </c>
      <c r="O86" s="68">
        <v>8400.0</v>
      </c>
    </row>
    <row r="87" ht="15.75" customHeight="1">
      <c r="I87" s="35" t="b">
        <f t="shared" si="1"/>
        <v>1</v>
      </c>
      <c r="J87" s="69">
        <v>1.0</v>
      </c>
      <c r="K87" s="70">
        <v>5228.0</v>
      </c>
      <c r="N87" s="68">
        <v>1.0</v>
      </c>
      <c r="O87" s="68">
        <v>5600.0</v>
      </c>
    </row>
    <row r="88" ht="15.75" customHeight="1">
      <c r="I88" s="35" t="b">
        <f t="shared" si="1"/>
        <v>1</v>
      </c>
      <c r="J88" s="66">
        <v>4.0</v>
      </c>
      <c r="K88" s="67">
        <v>8317.0</v>
      </c>
      <c r="N88" s="68">
        <v>4.0</v>
      </c>
      <c r="O88" s="68">
        <v>8500.0</v>
      </c>
    </row>
    <row r="89" ht="15.75" customHeight="1">
      <c r="I89" s="35" t="b">
        <f t="shared" si="1"/>
        <v>1</v>
      </c>
      <c r="J89" s="69">
        <v>1.0</v>
      </c>
      <c r="K89" s="70">
        <v>5372.0</v>
      </c>
      <c r="N89" s="68">
        <v>1.0</v>
      </c>
      <c r="O89" s="68">
        <v>5500.0</v>
      </c>
    </row>
    <row r="90" ht="15.75" customHeight="1">
      <c r="I90" s="35" t="b">
        <f t="shared" si="1"/>
        <v>1</v>
      </c>
      <c r="J90" s="66">
        <v>4.0</v>
      </c>
      <c r="K90" s="67">
        <v>8052.0</v>
      </c>
      <c r="N90" s="68">
        <v>4.0</v>
      </c>
      <c r="O90" s="68">
        <v>8600.0</v>
      </c>
    </row>
    <row r="91" ht="15.75" customHeight="1">
      <c r="I91" s="35" t="b">
        <f t="shared" si="1"/>
        <v>1</v>
      </c>
      <c r="J91" s="69">
        <v>1.0</v>
      </c>
      <c r="K91" s="70">
        <v>5573.0</v>
      </c>
      <c r="N91" s="68">
        <v>1.0</v>
      </c>
      <c r="O91" s="68">
        <v>5400.0</v>
      </c>
    </row>
    <row r="92" ht="15.75" customHeight="1">
      <c r="I92" s="35" t="b">
        <f t="shared" si="1"/>
        <v>1</v>
      </c>
      <c r="J92" s="66">
        <v>4.0</v>
      </c>
      <c r="K92" s="67">
        <v>8345.0</v>
      </c>
      <c r="N92" s="68">
        <v>4.0</v>
      </c>
      <c r="O92" s="68">
        <v>8700.0</v>
      </c>
    </row>
    <row r="93" ht="15.75" customHeight="1">
      <c r="I93" s="35" t="b">
        <f t="shared" si="1"/>
        <v>1</v>
      </c>
      <c r="J93" s="69">
        <v>1.0</v>
      </c>
      <c r="K93" s="70">
        <v>5415.0</v>
      </c>
      <c r="N93" s="68">
        <v>1.0</v>
      </c>
      <c r="O93" s="68">
        <v>5300.0</v>
      </c>
    </row>
    <row r="94" ht="15.75" customHeight="1">
      <c r="I94" s="35" t="b">
        <f t="shared" si="1"/>
        <v>1</v>
      </c>
      <c r="J94" s="66">
        <v>4.0</v>
      </c>
      <c r="K94" s="67">
        <v>8255.0</v>
      </c>
      <c r="N94" s="68">
        <v>4.0</v>
      </c>
      <c r="O94" s="68">
        <v>8800.0</v>
      </c>
    </row>
    <row r="95" ht="15.75" customHeight="1">
      <c r="I95" s="35" t="b">
        <f t="shared" si="1"/>
        <v>1</v>
      </c>
      <c r="J95" s="69">
        <v>1.0</v>
      </c>
      <c r="K95" s="70">
        <v>5972.0</v>
      </c>
      <c r="N95" s="68">
        <v>1.0</v>
      </c>
      <c r="O95" s="68">
        <v>5200.0</v>
      </c>
    </row>
    <row r="96" ht="15.75" customHeight="1">
      <c r="I96" s="35" t="b">
        <f t="shared" si="1"/>
        <v>1</v>
      </c>
      <c r="J96" s="66">
        <v>4.0</v>
      </c>
      <c r="K96" s="67">
        <v>8268.0</v>
      </c>
      <c r="N96" s="68">
        <v>4.0</v>
      </c>
      <c r="O96" s="68">
        <v>8900.0</v>
      </c>
    </row>
    <row r="97" ht="15.75" customHeight="1">
      <c r="I97" s="35" t="b">
        <f t="shared" si="1"/>
        <v>1</v>
      </c>
      <c r="J97" s="69">
        <v>1.0</v>
      </c>
      <c r="K97" s="70">
        <v>5183.0</v>
      </c>
      <c r="N97" s="68">
        <v>1.0</v>
      </c>
      <c r="O97" s="68">
        <v>5100.0</v>
      </c>
    </row>
    <row r="98" ht="15.75" customHeight="1">
      <c r="I98" s="35" t="b">
        <f t="shared" si="1"/>
        <v>1</v>
      </c>
      <c r="J98" s="66">
        <v>4.0</v>
      </c>
      <c r="K98" s="67">
        <v>8252.0</v>
      </c>
      <c r="N98" s="68">
        <v>4.0</v>
      </c>
      <c r="O98" s="68">
        <v>8050.0</v>
      </c>
    </row>
    <row r="99" ht="15.75" customHeight="1">
      <c r="I99" s="35" t="b">
        <f t="shared" si="1"/>
        <v>1</v>
      </c>
      <c r="J99" s="69">
        <v>1.0</v>
      </c>
      <c r="K99" s="70">
        <v>5786.0</v>
      </c>
      <c r="N99" s="68">
        <v>1.0</v>
      </c>
      <c r="O99" s="68">
        <v>5950.0</v>
      </c>
    </row>
    <row r="100" ht="15.75" customHeight="1">
      <c r="I100" s="35" t="b">
        <f t="shared" si="1"/>
        <v>0</v>
      </c>
      <c r="J100" s="66">
        <v>4.0</v>
      </c>
      <c r="K100" s="67">
        <v>8841.0</v>
      </c>
      <c r="N100" s="68">
        <v>1.0</v>
      </c>
      <c r="O100" s="68">
        <v>5850.0</v>
      </c>
    </row>
    <row r="101" ht="15.75" customHeight="1">
      <c r="I101" s="35" t="b">
        <f t="shared" si="1"/>
        <v>0</v>
      </c>
      <c r="J101" s="69">
        <v>1.0</v>
      </c>
      <c r="K101" s="70">
        <v>5428.0</v>
      </c>
      <c r="N101" s="68">
        <v>4.0</v>
      </c>
      <c r="O101" s="68">
        <v>8150.0</v>
      </c>
    </row>
    <row r="102" ht="15.75" customHeight="1">
      <c r="I102" s="35" t="b">
        <f t="shared" si="1"/>
        <v>0</v>
      </c>
      <c r="J102" s="66">
        <v>4.0</v>
      </c>
      <c r="K102" s="67">
        <v>8795.0</v>
      </c>
      <c r="N102" s="68">
        <v>1.0</v>
      </c>
      <c r="O102" s="68">
        <v>5750.0</v>
      </c>
    </row>
    <row r="103" ht="15.75" customHeight="1">
      <c r="I103" s="35" t="b">
        <f t="shared" si="1"/>
        <v>0</v>
      </c>
      <c r="J103" s="69">
        <v>1.0</v>
      </c>
      <c r="K103" s="70">
        <v>5404.0</v>
      </c>
      <c r="N103" s="68">
        <v>4.0</v>
      </c>
      <c r="O103" s="68">
        <v>8250.0</v>
      </c>
    </row>
    <row r="104" ht="15.75" customHeight="1">
      <c r="I104" s="35" t="b">
        <f t="shared" si="1"/>
        <v>1</v>
      </c>
      <c r="J104" s="71">
        <v>1.0</v>
      </c>
      <c r="K104" s="72">
        <v>5711.0</v>
      </c>
      <c r="N104" s="68">
        <v>1.0</v>
      </c>
      <c r="O104" s="68">
        <v>5650.0</v>
      </c>
    </row>
    <row r="105" ht="15.75" customHeight="1">
      <c r="I105" s="35" t="b">
        <f t="shared" si="1"/>
        <v>0</v>
      </c>
      <c r="J105" s="66">
        <v>4.0</v>
      </c>
      <c r="K105" s="67">
        <v>8472.0</v>
      </c>
      <c r="N105" s="68">
        <v>1.0</v>
      </c>
      <c r="O105" s="68">
        <v>5550.0</v>
      </c>
    </row>
    <row r="106" ht="15.75" customHeight="1">
      <c r="I106" s="35" t="b">
        <f t="shared" si="1"/>
        <v>0</v>
      </c>
      <c r="J106" s="69">
        <v>1.0</v>
      </c>
      <c r="K106" s="70">
        <v>5874.0</v>
      </c>
      <c r="N106" s="68">
        <v>4.0</v>
      </c>
      <c r="O106" s="68">
        <v>8350.0</v>
      </c>
    </row>
    <row r="107" ht="15.75" customHeight="1">
      <c r="I107" s="35" t="b">
        <f t="shared" si="1"/>
        <v>0</v>
      </c>
      <c r="J107" s="66">
        <v>4.0</v>
      </c>
      <c r="K107" s="67">
        <v>8173.0</v>
      </c>
      <c r="N107" s="68">
        <v>1.0</v>
      </c>
      <c r="O107" s="68">
        <v>5450.0</v>
      </c>
    </row>
    <row r="108" ht="15.75" customHeight="1">
      <c r="I108" s="35" t="b">
        <f t="shared" si="1"/>
        <v>1</v>
      </c>
      <c r="J108" s="69">
        <v>1.0</v>
      </c>
      <c r="K108" s="70">
        <v>5763.0</v>
      </c>
      <c r="N108" s="68">
        <v>1.0</v>
      </c>
      <c r="O108" s="68">
        <v>5350.0</v>
      </c>
    </row>
    <row r="109" ht="15.75" customHeight="1">
      <c r="I109" s="35" t="b">
        <f t="shared" si="1"/>
        <v>0</v>
      </c>
      <c r="J109" s="71">
        <v>1.0</v>
      </c>
      <c r="K109" s="72">
        <v>5215.0</v>
      </c>
      <c r="N109" s="68">
        <v>5.0</v>
      </c>
      <c r="O109" s="68">
        <v>9500.0</v>
      </c>
    </row>
    <row r="110" ht="15.75" customHeight="1">
      <c r="I110" s="35" t="b">
        <f t="shared" si="1"/>
        <v>0</v>
      </c>
      <c r="J110" s="66">
        <v>4.0</v>
      </c>
      <c r="K110" s="67">
        <v>8191.0</v>
      </c>
      <c r="N110" s="68">
        <v>1.0</v>
      </c>
      <c r="O110" s="68">
        <v>5250.0</v>
      </c>
    </row>
    <row r="111" ht="15.75" customHeight="1">
      <c r="I111" s="35" t="b">
        <f t="shared" si="1"/>
        <v>0</v>
      </c>
      <c r="J111" s="69">
        <v>1.0</v>
      </c>
      <c r="K111" s="70">
        <v>5175.0</v>
      </c>
      <c r="N111" s="68">
        <v>2.0</v>
      </c>
      <c r="O111" s="68">
        <v>6700.0</v>
      </c>
    </row>
    <row r="112" ht="15.75" customHeight="1">
      <c r="I112" s="35" t="b">
        <f t="shared" si="1"/>
        <v>0</v>
      </c>
      <c r="J112" s="71">
        <v>1.0</v>
      </c>
      <c r="K112" s="72">
        <v>5289.0</v>
      </c>
      <c r="N112" s="68">
        <v>4.0</v>
      </c>
      <c r="O112" s="68">
        <v>8450.0</v>
      </c>
    </row>
    <row r="113" ht="15.75" customHeight="1">
      <c r="I113" s="35" t="b">
        <f t="shared" si="1"/>
        <v>0</v>
      </c>
      <c r="J113" s="66">
        <v>5.0</v>
      </c>
      <c r="K113" s="67">
        <v>9483.0</v>
      </c>
      <c r="N113" s="68">
        <v>1.0</v>
      </c>
      <c r="O113" s="68">
        <v>5150.0</v>
      </c>
    </row>
    <row r="114" ht="15.75" customHeight="1">
      <c r="I114" s="35" t="b">
        <f t="shared" si="1"/>
        <v>0</v>
      </c>
      <c r="J114" s="69">
        <v>1.0</v>
      </c>
      <c r="K114" s="70">
        <v>5779.0</v>
      </c>
      <c r="N114" s="68">
        <v>4.0</v>
      </c>
      <c r="O114" s="68">
        <v>8550.0</v>
      </c>
    </row>
    <row r="115" ht="15.75" customHeight="1">
      <c r="I115" s="35" t="b">
        <f t="shared" si="1"/>
        <v>0</v>
      </c>
      <c r="J115" s="71">
        <v>2.0</v>
      </c>
      <c r="K115" s="72">
        <v>6498.0</v>
      </c>
      <c r="N115" s="68">
        <v>1.0</v>
      </c>
      <c r="O115" s="68">
        <v>5099.0</v>
      </c>
    </row>
    <row r="116" ht="15.75" customHeight="1">
      <c r="I116" s="35" t="b">
        <f t="shared" si="1"/>
        <v>0</v>
      </c>
      <c r="J116" s="66">
        <v>4.0</v>
      </c>
      <c r="K116" s="67">
        <v>8047.0</v>
      </c>
      <c r="N116" s="68">
        <v>1.0</v>
      </c>
      <c r="O116" s="68">
        <v>5990.0</v>
      </c>
    </row>
    <row r="117" ht="15.75" customHeight="1">
      <c r="I117" s="35" t="b">
        <f t="shared" si="1"/>
        <v>0</v>
      </c>
      <c r="J117" s="69">
        <v>1.0</v>
      </c>
      <c r="K117" s="70">
        <v>5317.0</v>
      </c>
      <c r="N117" s="68">
        <v>4.0</v>
      </c>
      <c r="O117" s="68">
        <v>8650.0</v>
      </c>
    </row>
    <row r="118" ht="15.75" customHeight="1">
      <c r="I118" s="35" t="b">
        <f t="shared" si="1"/>
        <v>0</v>
      </c>
      <c r="J118" s="66">
        <v>4.0</v>
      </c>
      <c r="K118" s="67">
        <v>8635.0</v>
      </c>
      <c r="N118" s="68">
        <v>1.0</v>
      </c>
      <c r="O118" s="68">
        <v>5890.0</v>
      </c>
    </row>
    <row r="119" ht="15.75" customHeight="1">
      <c r="I119" s="35" t="b">
        <f t="shared" si="1"/>
        <v>1</v>
      </c>
      <c r="J119" s="69">
        <v>1.0</v>
      </c>
      <c r="K119" s="70">
        <v>5982.0</v>
      </c>
      <c r="N119" s="68">
        <v>1.0</v>
      </c>
      <c r="O119" s="68">
        <v>5790.0</v>
      </c>
    </row>
    <row r="120" ht="15.75" customHeight="1">
      <c r="I120" s="35" t="b">
        <f t="shared" si="1"/>
        <v>0</v>
      </c>
      <c r="J120" s="71">
        <v>1.0</v>
      </c>
      <c r="K120" s="72">
        <v>5609.0</v>
      </c>
      <c r="N120" s="68">
        <v>5.0</v>
      </c>
      <c r="O120" s="68">
        <v>9200.0</v>
      </c>
    </row>
    <row r="121" ht="15.75" customHeight="1">
      <c r="I121" s="35" t="b">
        <f t="shared" si="1"/>
        <v>0</v>
      </c>
      <c r="J121" s="66">
        <v>4.0</v>
      </c>
      <c r="K121" s="67">
        <v>8177.0</v>
      </c>
      <c r="N121" s="68">
        <v>1.0</v>
      </c>
      <c r="O121" s="68">
        <v>5690.0</v>
      </c>
    </row>
    <row r="122" ht="15.75" customHeight="1">
      <c r="I122" s="35" t="b">
        <f t="shared" si="1"/>
        <v>1</v>
      </c>
      <c r="J122" s="69">
        <v>1.0</v>
      </c>
      <c r="K122" s="70">
        <v>5226.0</v>
      </c>
      <c r="N122" s="68">
        <v>1.0</v>
      </c>
      <c r="O122" s="68">
        <v>5590.0</v>
      </c>
    </row>
    <row r="123" ht="15.75" customHeight="1">
      <c r="I123" s="35" t="b">
        <f t="shared" si="1"/>
        <v>0</v>
      </c>
      <c r="J123" s="71">
        <v>1.0</v>
      </c>
      <c r="K123" s="72">
        <v>5499.0</v>
      </c>
      <c r="N123" s="68">
        <v>4.0</v>
      </c>
      <c r="O123" s="68">
        <v>8750.0</v>
      </c>
    </row>
    <row r="124" ht="15.75" customHeight="1">
      <c r="I124" s="35" t="b">
        <f t="shared" si="1"/>
        <v>0</v>
      </c>
      <c r="J124" s="66">
        <v>5.0</v>
      </c>
      <c r="K124" s="67">
        <v>9500.0</v>
      </c>
      <c r="N124" s="68">
        <v>1.0</v>
      </c>
      <c r="O124" s="68">
        <v>5490.0</v>
      </c>
    </row>
    <row r="125" ht="15.75" customHeight="1">
      <c r="I125" s="35" t="b">
        <f t="shared" si="1"/>
        <v>1</v>
      </c>
      <c r="J125" s="69">
        <v>1.0</v>
      </c>
      <c r="K125" s="70">
        <v>5324.0</v>
      </c>
      <c r="N125" s="68">
        <v>1.0</v>
      </c>
      <c r="O125" s="68">
        <v>5390.0</v>
      </c>
    </row>
    <row r="126" ht="15.75" customHeight="1">
      <c r="I126" s="35" t="b">
        <f t="shared" si="1"/>
        <v>0</v>
      </c>
      <c r="J126" s="71">
        <v>1.0</v>
      </c>
      <c r="K126" s="72">
        <v>5869.0</v>
      </c>
      <c r="N126" s="68">
        <v>4.0</v>
      </c>
      <c r="O126" s="68">
        <v>8850.0</v>
      </c>
    </row>
    <row r="127" ht="15.75" customHeight="1">
      <c r="I127" s="35" t="b">
        <f t="shared" si="1"/>
        <v>0</v>
      </c>
      <c r="J127" s="66">
        <v>4.0</v>
      </c>
      <c r="K127" s="67">
        <v>8509.0</v>
      </c>
      <c r="N127" s="68">
        <v>1.0</v>
      </c>
      <c r="O127" s="68">
        <v>5290.0</v>
      </c>
    </row>
    <row r="128" ht="15.75" customHeight="1">
      <c r="I128" s="35" t="b">
        <f t="shared" si="1"/>
        <v>0</v>
      </c>
      <c r="J128" s="69">
        <v>1.0</v>
      </c>
      <c r="K128" s="70">
        <v>5565.0</v>
      </c>
      <c r="N128" s="68">
        <v>5.0</v>
      </c>
      <c r="O128" s="68">
        <v>9600.0</v>
      </c>
    </row>
    <row r="129" ht="15.75" customHeight="1">
      <c r="I129" s="35" t="b">
        <f t="shared" si="1"/>
        <v>1</v>
      </c>
      <c r="J129" s="71">
        <v>1.0</v>
      </c>
      <c r="K129" s="72">
        <v>5868.0</v>
      </c>
      <c r="N129" s="68">
        <v>1.0</v>
      </c>
      <c r="O129" s="68">
        <v>5190.0</v>
      </c>
    </row>
    <row r="130" ht="15.75" customHeight="1">
      <c r="I130" s="35" t="b">
        <f t="shared" si="1"/>
        <v>1</v>
      </c>
      <c r="J130" s="66">
        <v>4.0</v>
      </c>
      <c r="K130" s="67">
        <v>8569.0</v>
      </c>
      <c r="N130" s="68">
        <v>4.0</v>
      </c>
      <c r="O130" s="68">
        <v>8950.0</v>
      </c>
    </row>
    <row r="131" ht="15.75" customHeight="1">
      <c r="I131" s="35" t="b">
        <f t="shared" si="1"/>
        <v>1</v>
      </c>
      <c r="J131" s="69">
        <v>1.0</v>
      </c>
      <c r="K131" s="70">
        <v>5311.0</v>
      </c>
      <c r="N131" s="68">
        <v>1.0</v>
      </c>
      <c r="O131" s="68">
        <v>5980.0</v>
      </c>
    </row>
    <row r="132" ht="15.75" customHeight="1">
      <c r="I132" s="35" t="b">
        <f t="shared" si="1"/>
        <v>0</v>
      </c>
      <c r="J132" s="66">
        <v>5.0</v>
      </c>
      <c r="K132" s="67">
        <v>9414.0</v>
      </c>
      <c r="N132" s="68">
        <v>1.0</v>
      </c>
      <c r="O132" s="68">
        <v>5880.0</v>
      </c>
    </row>
    <row r="133" ht="15.75" customHeight="1">
      <c r="I133" s="35" t="b">
        <f t="shared" si="1"/>
        <v>0</v>
      </c>
      <c r="J133" s="69">
        <v>1.0</v>
      </c>
      <c r="K133" s="70">
        <v>5756.0</v>
      </c>
      <c r="N133" s="68">
        <v>4.0</v>
      </c>
      <c r="O133" s="68">
        <v>8180.0</v>
      </c>
    </row>
    <row r="134" ht="15.75" customHeight="1">
      <c r="I134" s="35" t="b">
        <f t="shared" si="1"/>
        <v>0</v>
      </c>
      <c r="J134" s="66">
        <v>4.0</v>
      </c>
      <c r="K134" s="67">
        <v>8911.0</v>
      </c>
      <c r="N134" s="68">
        <v>1.0</v>
      </c>
      <c r="O134" s="68">
        <v>5780.0</v>
      </c>
    </row>
    <row r="135" ht="15.75" customHeight="1">
      <c r="I135" s="35" t="b">
        <f t="shared" si="1"/>
        <v>1</v>
      </c>
      <c r="J135" s="69">
        <v>1.0</v>
      </c>
      <c r="K135" s="70">
        <v>5474.0</v>
      </c>
      <c r="N135" s="68">
        <v>1.0</v>
      </c>
      <c r="O135" s="68">
        <v>5680.0</v>
      </c>
    </row>
    <row r="136" ht="15.75" customHeight="1">
      <c r="I136" s="35" t="b">
        <f t="shared" si="1"/>
        <v>0</v>
      </c>
      <c r="J136" s="71">
        <v>1.0</v>
      </c>
      <c r="K136" s="72">
        <v>5770.0</v>
      </c>
      <c r="N136" s="68">
        <v>4.0</v>
      </c>
      <c r="O136" s="68">
        <v>8280.0</v>
      </c>
    </row>
    <row r="137" ht="15.75" customHeight="1">
      <c r="I137" s="35" t="b">
        <f t="shared" si="1"/>
        <v>0</v>
      </c>
      <c r="J137" s="66">
        <v>4.0</v>
      </c>
      <c r="K137" s="67">
        <v>8057.0</v>
      </c>
      <c r="N137" s="68">
        <v>1.0</v>
      </c>
      <c r="O137" s="68">
        <v>5580.0</v>
      </c>
    </row>
    <row r="138" ht="15.75" customHeight="1">
      <c r="I138" s="35" t="b">
        <f t="shared" si="1"/>
        <v>0</v>
      </c>
      <c r="J138" s="69">
        <v>1.0</v>
      </c>
      <c r="K138" s="70">
        <v>5918.0</v>
      </c>
      <c r="N138" s="68">
        <v>5.0</v>
      </c>
      <c r="O138" s="68">
        <v>9300.0</v>
      </c>
    </row>
    <row r="139" ht="15.75" customHeight="1">
      <c r="I139" s="35" t="b">
        <f t="shared" si="1"/>
        <v>1</v>
      </c>
      <c r="J139" s="71">
        <v>1.0</v>
      </c>
      <c r="K139" s="72">
        <v>5926.0</v>
      </c>
      <c r="N139" s="68">
        <v>1.0</v>
      </c>
      <c r="O139" s="68">
        <v>5480.0</v>
      </c>
    </row>
    <row r="140" ht="15.75" customHeight="1">
      <c r="I140" s="35" t="b">
        <f t="shared" si="1"/>
        <v>0</v>
      </c>
      <c r="J140" s="66">
        <v>4.0</v>
      </c>
      <c r="K140" s="67">
        <v>8169.0</v>
      </c>
      <c r="N140" s="68">
        <v>2.0</v>
      </c>
      <c r="O140" s="68">
        <v>6800.0</v>
      </c>
    </row>
    <row r="141" ht="15.75" customHeight="1">
      <c r="I141" s="35" t="b">
        <f t="shared" si="1"/>
        <v>0</v>
      </c>
      <c r="J141" s="69">
        <v>1.0</v>
      </c>
      <c r="K141" s="70">
        <v>5149.0</v>
      </c>
      <c r="N141" s="68">
        <v>5.0</v>
      </c>
      <c r="O141" s="68">
        <v>9700.0</v>
      </c>
    </row>
    <row r="142" ht="15.75" customHeight="1">
      <c r="I142" s="35" t="b">
        <f t="shared" si="1"/>
        <v>0</v>
      </c>
      <c r="J142" s="66">
        <v>5.0</v>
      </c>
      <c r="K142" s="67">
        <v>9955.0</v>
      </c>
      <c r="N142" s="68">
        <v>1.0</v>
      </c>
      <c r="O142" s="68">
        <v>5380.0</v>
      </c>
    </row>
    <row r="143" ht="15.75" customHeight="1">
      <c r="I143" s="35" t="b">
        <f t="shared" si="1"/>
        <v>0</v>
      </c>
      <c r="J143" s="69">
        <v>1.0</v>
      </c>
      <c r="K143" s="70">
        <v>5446.0</v>
      </c>
      <c r="N143" s="68">
        <v>5.0</v>
      </c>
      <c r="O143" s="68">
        <v>9400.0</v>
      </c>
    </row>
    <row r="144" ht="15.75" customHeight="1">
      <c r="I144" s="35" t="b">
        <f t="shared" si="1"/>
        <v>0</v>
      </c>
      <c r="J144" s="71">
        <v>2.0</v>
      </c>
      <c r="K144" s="72">
        <v>6065.0</v>
      </c>
      <c r="N144" s="68">
        <v>1.0</v>
      </c>
      <c r="O144" s="68">
        <v>5280.0</v>
      </c>
    </row>
    <row r="145" ht="15.75" customHeight="1">
      <c r="I145" s="35" t="b">
        <f t="shared" si="1"/>
        <v>0</v>
      </c>
      <c r="J145" s="66">
        <v>5.0</v>
      </c>
      <c r="K145" s="67">
        <v>9126.0</v>
      </c>
      <c r="N145" s="68">
        <v>2.0</v>
      </c>
      <c r="O145" s="68">
        <v>6300.0</v>
      </c>
    </row>
    <row r="146" ht="15.75" customHeight="1">
      <c r="I146" s="35" t="b">
        <f t="shared" si="1"/>
        <v>0</v>
      </c>
      <c r="J146" s="69">
        <v>1.0</v>
      </c>
      <c r="K146" s="70">
        <v>5320.0</v>
      </c>
      <c r="N146" s="68">
        <v>4.0</v>
      </c>
      <c r="O146" s="68">
        <v>8380.0</v>
      </c>
    </row>
    <row r="147" ht="15.75" customHeight="1">
      <c r="I147" s="35" t="b">
        <f t="shared" si="1"/>
        <v>0</v>
      </c>
      <c r="J147" s="66">
        <v>5.0</v>
      </c>
      <c r="K147" s="67">
        <v>9504.0</v>
      </c>
      <c r="N147" s="68">
        <v>1.0</v>
      </c>
      <c r="O147" s="68">
        <v>5180.0</v>
      </c>
    </row>
    <row r="148" ht="15.75" customHeight="1">
      <c r="I148" s="35" t="b">
        <f t="shared" si="1"/>
        <v>0</v>
      </c>
      <c r="J148" s="69">
        <v>1.0</v>
      </c>
      <c r="K148" s="70">
        <v>5750.0</v>
      </c>
      <c r="N148" s="68">
        <v>4.0</v>
      </c>
      <c r="O148" s="68">
        <v>8480.0</v>
      </c>
    </row>
    <row r="149" ht="15.75" customHeight="1">
      <c r="I149" s="35" t="b">
        <f t="shared" si="1"/>
        <v>0</v>
      </c>
      <c r="J149" s="71">
        <v>2.0</v>
      </c>
      <c r="K149" s="72">
        <v>6927.0</v>
      </c>
      <c r="N149" s="68">
        <v>1.0</v>
      </c>
      <c r="O149" s="68">
        <v>5098.0</v>
      </c>
    </row>
    <row r="150" ht="15.75" customHeight="1">
      <c r="I150" s="35" t="b">
        <f t="shared" si="1"/>
        <v>0</v>
      </c>
      <c r="J150" s="66">
        <v>4.0</v>
      </c>
      <c r="K150" s="67">
        <v>8041.0</v>
      </c>
      <c r="N150" s="68">
        <v>1.0</v>
      </c>
      <c r="O150" s="68">
        <v>5970.0</v>
      </c>
    </row>
    <row r="151" ht="15.75" customHeight="1">
      <c r="I151" s="35" t="b">
        <f t="shared" si="1"/>
        <v>0</v>
      </c>
      <c r="J151" s="69">
        <v>1.0</v>
      </c>
      <c r="K151" s="70">
        <v>5254.0</v>
      </c>
      <c r="N151" s="68">
        <v>4.0</v>
      </c>
      <c r="O151" s="68">
        <v>8580.0</v>
      </c>
    </row>
    <row r="152" ht="15.75" customHeight="1">
      <c r="I152" s="35" t="b">
        <f t="shared" si="1"/>
        <v>0</v>
      </c>
      <c r="J152" s="66">
        <v>4.0</v>
      </c>
      <c r="K152" s="67">
        <v>8976.0</v>
      </c>
      <c r="N152" s="68">
        <v>1.0</v>
      </c>
      <c r="O152" s="68">
        <v>5870.0</v>
      </c>
    </row>
    <row r="153" ht="15.75" customHeight="1">
      <c r="I153" s="35" t="b">
        <f t="shared" si="1"/>
        <v>1</v>
      </c>
      <c r="J153" s="69">
        <v>1.0</v>
      </c>
      <c r="K153" s="70">
        <v>5939.0</v>
      </c>
      <c r="N153" s="68">
        <v>1.0</v>
      </c>
      <c r="O153" s="68">
        <v>5770.0</v>
      </c>
    </row>
    <row r="154" ht="15.75" customHeight="1">
      <c r="I154" s="35" t="b">
        <f t="shared" si="1"/>
        <v>0</v>
      </c>
      <c r="J154" s="71">
        <v>1.0</v>
      </c>
      <c r="K154" s="72">
        <v>5829.0</v>
      </c>
      <c r="N154" s="68">
        <v>5.0</v>
      </c>
      <c r="O154" s="68">
        <v>9900.0</v>
      </c>
    </row>
    <row r="155" ht="15.75" customHeight="1">
      <c r="I155" s="35" t="b">
        <f t="shared" si="1"/>
        <v>0</v>
      </c>
      <c r="J155" s="66">
        <v>4.0</v>
      </c>
      <c r="K155" s="67">
        <v>8005.0</v>
      </c>
      <c r="N155" s="68">
        <v>1.0</v>
      </c>
      <c r="O155" s="68">
        <v>5670.0</v>
      </c>
    </row>
    <row r="156" ht="15.75" customHeight="1">
      <c r="I156" s="35" t="b">
        <f t="shared" si="1"/>
        <v>1</v>
      </c>
      <c r="J156" s="69">
        <v>1.0</v>
      </c>
      <c r="K156" s="70">
        <v>5871.0</v>
      </c>
      <c r="N156" s="68">
        <v>1.0</v>
      </c>
      <c r="O156" s="68">
        <v>5570.0</v>
      </c>
    </row>
    <row r="157" ht="15.75" customHeight="1">
      <c r="I157" s="35" t="b">
        <f t="shared" si="1"/>
        <v>0</v>
      </c>
      <c r="J157" s="71">
        <v>1.0</v>
      </c>
      <c r="K157" s="72">
        <v>5965.0</v>
      </c>
      <c r="N157" s="68">
        <v>4.0</v>
      </c>
      <c r="O157" s="68">
        <v>8680.0</v>
      </c>
    </row>
    <row r="158" ht="15.75" customHeight="1">
      <c r="I158" s="35" t="b">
        <f t="shared" si="1"/>
        <v>0</v>
      </c>
      <c r="J158" s="66">
        <v>5.0</v>
      </c>
      <c r="K158" s="67">
        <v>9270.0</v>
      </c>
      <c r="N158" s="68">
        <v>1.0</v>
      </c>
      <c r="O158" s="68">
        <v>5470.0</v>
      </c>
    </row>
    <row r="159" ht="15.75" customHeight="1">
      <c r="I159" s="35" t="b">
        <f t="shared" si="1"/>
        <v>1</v>
      </c>
      <c r="J159" s="69">
        <v>1.0</v>
      </c>
      <c r="K159" s="70">
        <v>5773.0</v>
      </c>
      <c r="N159" s="68">
        <v>1.0</v>
      </c>
      <c r="O159" s="68">
        <v>5370.0</v>
      </c>
    </row>
    <row r="160" ht="15.75" customHeight="1">
      <c r="I160" s="35" t="b">
        <f t="shared" si="1"/>
        <v>0</v>
      </c>
      <c r="J160" s="71">
        <v>1.0</v>
      </c>
      <c r="K160" s="72">
        <v>5243.0</v>
      </c>
      <c r="N160" s="68">
        <v>5.0</v>
      </c>
      <c r="O160" s="68">
        <v>9150.0</v>
      </c>
    </row>
    <row r="161" ht="15.75" customHeight="1">
      <c r="I161" s="35" t="b">
        <f t="shared" si="1"/>
        <v>0</v>
      </c>
      <c r="J161" s="66">
        <v>4.0</v>
      </c>
      <c r="K161" s="67">
        <v>8014.0</v>
      </c>
      <c r="N161" s="68">
        <v>1.0</v>
      </c>
      <c r="O161" s="68">
        <v>5270.0</v>
      </c>
    </row>
    <row r="162" ht="15.75" customHeight="1">
      <c r="I162" s="35" t="b">
        <f t="shared" si="1"/>
        <v>1</v>
      </c>
      <c r="J162" s="69">
        <v>1.0</v>
      </c>
      <c r="K162" s="70">
        <v>5261.0</v>
      </c>
      <c r="N162" s="68">
        <v>1.0</v>
      </c>
      <c r="O162" s="68">
        <v>5170.0</v>
      </c>
    </row>
    <row r="163" ht="15.75" customHeight="1">
      <c r="I163" s="35" t="b">
        <f t="shared" si="1"/>
        <v>0</v>
      </c>
      <c r="J163" s="71">
        <v>1.0</v>
      </c>
      <c r="K163" s="72">
        <v>5929.0</v>
      </c>
      <c r="N163" s="68">
        <v>5.0</v>
      </c>
      <c r="O163" s="68">
        <v>9250.0</v>
      </c>
    </row>
    <row r="164" ht="15.75" customHeight="1">
      <c r="I164" s="35" t="b">
        <f t="shared" si="1"/>
        <v>0</v>
      </c>
      <c r="J164" s="66">
        <v>5.0</v>
      </c>
      <c r="K164" s="67">
        <v>9336.0</v>
      </c>
      <c r="N164" s="68">
        <v>1.0</v>
      </c>
      <c r="O164" s="68">
        <v>5960.0</v>
      </c>
    </row>
    <row r="165" ht="15.75" customHeight="1">
      <c r="I165" s="35" t="b">
        <f t="shared" si="1"/>
        <v>1</v>
      </c>
      <c r="J165" s="69">
        <v>1.0</v>
      </c>
      <c r="K165" s="70">
        <v>5998.0</v>
      </c>
      <c r="N165" s="68">
        <v>1.0</v>
      </c>
      <c r="O165" s="68">
        <v>5860.0</v>
      </c>
    </row>
    <row r="166" ht="15.75" customHeight="1">
      <c r="I166" s="35" t="b">
        <f t="shared" si="1"/>
        <v>0</v>
      </c>
      <c r="J166" s="71">
        <v>1.0</v>
      </c>
      <c r="K166" s="72">
        <v>5128.0</v>
      </c>
      <c r="N166" s="68">
        <v>5.0</v>
      </c>
      <c r="O166" s="68">
        <v>9350.0</v>
      </c>
    </row>
    <row r="167" ht="15.75" customHeight="1">
      <c r="I167" s="35" t="b">
        <f t="shared" si="1"/>
        <v>0</v>
      </c>
      <c r="J167" s="66">
        <v>5.0</v>
      </c>
      <c r="K167" s="67">
        <v>9952.0</v>
      </c>
      <c r="N167" s="68">
        <v>1.0</v>
      </c>
      <c r="O167" s="68">
        <v>5760.0</v>
      </c>
    </row>
    <row r="168" ht="15.75" customHeight="1">
      <c r="I168" s="35" t="b">
        <f t="shared" si="1"/>
        <v>1</v>
      </c>
      <c r="J168" s="69">
        <v>1.0</v>
      </c>
      <c r="K168" s="70">
        <v>5840.0</v>
      </c>
      <c r="N168" s="68">
        <v>1.0</v>
      </c>
      <c r="O168" s="68">
        <v>5660.0</v>
      </c>
    </row>
    <row r="169" ht="15.75" customHeight="1">
      <c r="I169" s="35" t="b">
        <f t="shared" si="1"/>
        <v>0</v>
      </c>
      <c r="J169" s="71">
        <v>1.0</v>
      </c>
      <c r="K169" s="72">
        <v>5463.0</v>
      </c>
      <c r="N169" s="68">
        <v>5.0</v>
      </c>
      <c r="O169" s="68">
        <v>9450.0</v>
      </c>
    </row>
    <row r="170" ht="15.75" customHeight="1">
      <c r="I170" s="35" t="b">
        <f t="shared" si="1"/>
        <v>0</v>
      </c>
      <c r="J170" s="66">
        <v>5.0</v>
      </c>
      <c r="K170" s="67">
        <v>9597.0</v>
      </c>
      <c r="N170" s="68">
        <v>1.0</v>
      </c>
      <c r="O170" s="68">
        <v>5560.0</v>
      </c>
    </row>
    <row r="171" ht="15.75" customHeight="1">
      <c r="I171" s="35" t="b">
        <f t="shared" si="1"/>
        <v>1</v>
      </c>
      <c r="J171" s="69">
        <v>1.0</v>
      </c>
      <c r="K171" s="70">
        <v>5610.0</v>
      </c>
      <c r="N171" s="68">
        <v>1.0</v>
      </c>
      <c r="O171" s="68">
        <v>5460.0</v>
      </c>
    </row>
    <row r="172" ht="15.75" customHeight="1">
      <c r="I172" s="35" t="b">
        <f t="shared" si="1"/>
        <v>0</v>
      </c>
      <c r="J172" s="71">
        <v>1.0</v>
      </c>
      <c r="K172" s="72">
        <v>5558.0</v>
      </c>
      <c r="N172" s="68">
        <v>4.0</v>
      </c>
      <c r="O172" s="68">
        <v>8780.0</v>
      </c>
    </row>
    <row r="173" ht="15.75" customHeight="1">
      <c r="I173" s="35" t="b">
        <f t="shared" si="1"/>
        <v>0</v>
      </c>
      <c r="J173" s="66">
        <v>5.0</v>
      </c>
      <c r="K173" s="67">
        <v>9404.0</v>
      </c>
      <c r="N173" s="68">
        <v>1.0</v>
      </c>
      <c r="O173" s="68">
        <v>5360.0</v>
      </c>
    </row>
    <row r="174" ht="15.75" customHeight="1">
      <c r="I174" s="35" t="b">
        <f t="shared" si="1"/>
        <v>1</v>
      </c>
      <c r="J174" s="69">
        <v>1.0</v>
      </c>
      <c r="K174" s="70">
        <v>5803.0</v>
      </c>
      <c r="N174" s="68">
        <v>1.0</v>
      </c>
      <c r="O174" s="68">
        <v>5260.0</v>
      </c>
    </row>
    <row r="175" ht="15.75" customHeight="1">
      <c r="I175" s="35" t="b">
        <f t="shared" si="1"/>
        <v>1</v>
      </c>
      <c r="J175" s="71">
        <v>1.0</v>
      </c>
      <c r="K175" s="72">
        <v>5990.0</v>
      </c>
      <c r="N175" s="68">
        <v>1.0</v>
      </c>
      <c r="O175" s="68">
        <v>5120.0</v>
      </c>
    </row>
    <row r="176" ht="15.75" customHeight="1">
      <c r="I176" s="35" t="b">
        <f t="shared" si="1"/>
        <v>0</v>
      </c>
      <c r="J176" s="66">
        <v>4.0</v>
      </c>
      <c r="K176" s="67">
        <v>8241.0</v>
      </c>
      <c r="N176" s="68">
        <v>1.0</v>
      </c>
      <c r="O176" s="68">
        <v>5790.0</v>
      </c>
    </row>
    <row r="177" ht="15.75" customHeight="1">
      <c r="I177" s="35" t="b">
        <f t="shared" si="1"/>
        <v>0</v>
      </c>
      <c r="J177" s="69">
        <v>1.0</v>
      </c>
      <c r="K177" s="70">
        <v>5756.0</v>
      </c>
      <c r="N177" s="68">
        <v>4.0</v>
      </c>
      <c r="O177" s="68">
        <v>8850.0</v>
      </c>
    </row>
    <row r="178" ht="15.75" customHeight="1">
      <c r="I178" s="35" t="b">
        <f t="shared" si="1"/>
        <v>1</v>
      </c>
      <c r="J178" s="71">
        <v>1.0</v>
      </c>
      <c r="K178" s="72">
        <v>5818.0</v>
      </c>
      <c r="N178" s="68">
        <v>1.0</v>
      </c>
      <c r="O178" s="68">
        <v>5350.0</v>
      </c>
    </row>
    <row r="179" ht="15.75" customHeight="1">
      <c r="I179" s="35" t="b">
        <f t="shared" si="1"/>
        <v>0</v>
      </c>
      <c r="K179" s="73"/>
      <c r="N179" s="68">
        <v>1.0</v>
      </c>
      <c r="O179" s="68">
        <v>5960.0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B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12.14"/>
    <col customWidth="1" min="13" max="13" width="8.71"/>
    <col customWidth="1" min="14" max="14" width="12.14"/>
    <col customWidth="1" min="15" max="26" width="8.71"/>
  </cols>
  <sheetData>
    <row r="1">
      <c r="A1" s="74" t="s">
        <v>176</v>
      </c>
      <c r="B1" s="74" t="s">
        <v>177</v>
      </c>
      <c r="C1" s="74" t="s">
        <v>185</v>
      </c>
      <c r="D1" s="74" t="s">
        <v>186</v>
      </c>
      <c r="E1" s="74" t="s">
        <v>151</v>
      </c>
      <c r="F1" s="74" t="s">
        <v>187</v>
      </c>
    </row>
    <row r="2">
      <c r="A2" s="75">
        <v>1.0</v>
      </c>
      <c r="B2" s="75">
        <v>29.0</v>
      </c>
      <c r="C2" s="76">
        <v>9600.0</v>
      </c>
      <c r="D2" s="75">
        <v>300.0</v>
      </c>
      <c r="E2" s="77">
        <v>0.0303</v>
      </c>
      <c r="F2" s="74">
        <v>1.0</v>
      </c>
    </row>
    <row r="3">
      <c r="A3" s="75">
        <v>2.0</v>
      </c>
      <c r="B3" s="75">
        <v>60.0</v>
      </c>
      <c r="C3" s="76">
        <v>10248.0</v>
      </c>
      <c r="D3" s="76">
        <v>9552.0</v>
      </c>
      <c r="E3" s="77">
        <v>0.4824</v>
      </c>
      <c r="F3" s="74">
        <v>1.0</v>
      </c>
    </row>
    <row r="4">
      <c r="A4" s="75">
        <v>1.0</v>
      </c>
      <c r="B4" s="75">
        <v>29.0</v>
      </c>
      <c r="C4" s="76">
        <v>9135.0</v>
      </c>
      <c r="D4" s="75">
        <v>765.0</v>
      </c>
      <c r="E4" s="77">
        <v>0.0773</v>
      </c>
      <c r="F4" s="74">
        <v>2.0</v>
      </c>
    </row>
    <row r="5">
      <c r="A5" s="75">
        <v>2.0</v>
      </c>
      <c r="B5" s="75">
        <v>57.0</v>
      </c>
      <c r="C5" s="76">
        <v>10454.0</v>
      </c>
      <c r="D5" s="76">
        <v>9346.0</v>
      </c>
      <c r="E5" s="77">
        <v>0.472</v>
      </c>
      <c r="F5" s="74">
        <v>3.0</v>
      </c>
    </row>
    <row r="6">
      <c r="A6" s="75">
        <v>1.0</v>
      </c>
      <c r="B6" s="75">
        <v>33.0</v>
      </c>
      <c r="C6" s="76">
        <v>9392.0</v>
      </c>
      <c r="D6" s="75">
        <v>508.0</v>
      </c>
      <c r="E6" s="77">
        <v>0.0513</v>
      </c>
      <c r="F6" s="74">
        <v>3.0</v>
      </c>
    </row>
    <row r="7">
      <c r="A7" s="75">
        <v>1.0</v>
      </c>
      <c r="B7" s="75">
        <v>32.0</v>
      </c>
      <c r="C7" s="76">
        <v>9368.0</v>
      </c>
      <c r="D7" s="75">
        <v>532.0</v>
      </c>
      <c r="E7" s="77">
        <v>0.0537</v>
      </c>
      <c r="F7" s="74">
        <v>6.0</v>
      </c>
    </row>
    <row r="8">
      <c r="A8" s="75">
        <v>1.0</v>
      </c>
      <c r="B8" s="75">
        <v>32.0</v>
      </c>
      <c r="C8" s="76">
        <v>11099.0</v>
      </c>
      <c r="D8" s="76">
        <v>-1199.0</v>
      </c>
      <c r="E8" s="77">
        <v>-0.1211</v>
      </c>
      <c r="F8" s="74">
        <v>6.0</v>
      </c>
    </row>
    <row r="9">
      <c r="A9" s="75">
        <v>1.0</v>
      </c>
      <c r="B9" s="75">
        <v>33.0</v>
      </c>
      <c r="C9" s="76">
        <v>10694.0</v>
      </c>
      <c r="D9" s="75">
        <v>-794.0</v>
      </c>
      <c r="E9" s="77">
        <v>-0.0802</v>
      </c>
      <c r="F9" s="74">
        <v>6.0</v>
      </c>
    </row>
    <row r="10">
      <c r="A10" s="75">
        <v>2.0</v>
      </c>
      <c r="B10" s="75">
        <v>59.0</v>
      </c>
      <c r="C10" s="76">
        <v>11181.0</v>
      </c>
      <c r="D10" s="76">
        <v>8619.0</v>
      </c>
      <c r="E10" s="77">
        <v>0.4353</v>
      </c>
      <c r="F10" s="74">
        <v>7.0</v>
      </c>
    </row>
    <row r="11">
      <c r="A11" s="75">
        <v>1.0</v>
      </c>
      <c r="B11" s="75">
        <v>31.0</v>
      </c>
      <c r="C11" s="76">
        <v>10641.0</v>
      </c>
      <c r="D11" s="75">
        <v>-741.0</v>
      </c>
      <c r="E11" s="77">
        <v>-0.0748</v>
      </c>
      <c r="F11" s="74">
        <v>7.0</v>
      </c>
    </row>
    <row r="12">
      <c r="A12" s="75">
        <v>1.0</v>
      </c>
      <c r="B12" s="75">
        <v>30.0</v>
      </c>
      <c r="C12" s="76">
        <v>9427.0</v>
      </c>
      <c r="D12" s="75">
        <v>473.0</v>
      </c>
      <c r="E12" s="77">
        <v>0.0478</v>
      </c>
      <c r="F12" s="74">
        <v>7.0</v>
      </c>
    </row>
    <row r="13">
      <c r="A13" s="75">
        <v>1.0</v>
      </c>
      <c r="B13" s="75">
        <v>31.0</v>
      </c>
      <c r="C13" s="76">
        <v>9617.0</v>
      </c>
      <c r="D13" s="75">
        <v>283.0</v>
      </c>
      <c r="E13" s="77">
        <v>0.0286</v>
      </c>
      <c r="F13" s="74">
        <v>8.0</v>
      </c>
    </row>
    <row r="14">
      <c r="A14" s="75">
        <v>1.0</v>
      </c>
      <c r="B14" s="75">
        <v>28.0</v>
      </c>
      <c r="C14" s="76">
        <v>9898.0</v>
      </c>
      <c r="D14" s="75">
        <v>2.0</v>
      </c>
      <c r="E14" s="77">
        <v>2.0E-4</v>
      </c>
      <c r="F14" s="74">
        <v>8.0</v>
      </c>
    </row>
    <row r="15">
      <c r="A15" s="75">
        <v>1.0</v>
      </c>
      <c r="B15" s="75">
        <v>29.0</v>
      </c>
      <c r="C15" s="76">
        <v>9720.0</v>
      </c>
      <c r="D15" s="75">
        <v>180.0</v>
      </c>
      <c r="E15" s="77">
        <v>0.0182</v>
      </c>
      <c r="F15" s="74">
        <v>9.0</v>
      </c>
    </row>
    <row r="16">
      <c r="A16" s="75">
        <v>1.0</v>
      </c>
      <c r="B16" s="75">
        <v>28.0</v>
      </c>
      <c r="C16" s="76">
        <v>9455.0</v>
      </c>
      <c r="D16" s="75">
        <v>445.0</v>
      </c>
      <c r="E16" s="77">
        <v>0.0449</v>
      </c>
      <c r="F16" s="74">
        <v>9.0</v>
      </c>
    </row>
    <row r="17">
      <c r="A17" s="75">
        <v>2.0</v>
      </c>
      <c r="B17" s="75">
        <v>59.0</v>
      </c>
      <c r="C17" s="76">
        <v>10606.0</v>
      </c>
      <c r="D17" s="76">
        <v>9194.0</v>
      </c>
      <c r="E17" s="77">
        <v>0.4643</v>
      </c>
      <c r="F17" s="74">
        <v>9.0</v>
      </c>
    </row>
    <row r="18">
      <c r="A18" s="75">
        <v>2.0</v>
      </c>
      <c r="B18" s="75">
        <v>63.0</v>
      </c>
      <c r="C18" s="76">
        <v>10863.0</v>
      </c>
      <c r="D18" s="76">
        <v>8937.0</v>
      </c>
      <c r="E18" s="77">
        <v>0.4514</v>
      </c>
      <c r="F18" s="74">
        <v>10.0</v>
      </c>
    </row>
    <row r="19">
      <c r="A19" s="75">
        <v>1.0</v>
      </c>
      <c r="B19" s="75">
        <v>33.0</v>
      </c>
      <c r="C19" s="76">
        <v>9553.0</v>
      </c>
      <c r="D19" s="75">
        <v>347.0</v>
      </c>
      <c r="E19" s="77">
        <v>0.0351</v>
      </c>
      <c r="F19" s="74">
        <v>10.0</v>
      </c>
    </row>
    <row r="20">
      <c r="A20" s="75">
        <v>1.0</v>
      </c>
      <c r="B20" s="75">
        <v>29.0</v>
      </c>
      <c r="C20" s="76">
        <v>9928.0</v>
      </c>
      <c r="D20" s="75">
        <v>-28.0</v>
      </c>
      <c r="E20" s="77">
        <v>-0.0028</v>
      </c>
      <c r="F20" s="74">
        <v>11.0</v>
      </c>
    </row>
    <row r="21" ht="15.75" customHeight="1">
      <c r="A21" s="75">
        <v>1.0</v>
      </c>
      <c r="B21" s="75">
        <v>28.0</v>
      </c>
      <c r="C21" s="76">
        <v>10756.0</v>
      </c>
      <c r="D21" s="75">
        <v>-856.0</v>
      </c>
      <c r="E21" s="77">
        <v>-0.0865</v>
      </c>
      <c r="F21" s="74">
        <v>11.0</v>
      </c>
    </row>
    <row r="22" ht="15.75" customHeight="1">
      <c r="A22" s="75">
        <v>1.0</v>
      </c>
      <c r="B22" s="75">
        <v>31.0</v>
      </c>
      <c r="C22" s="76">
        <v>9816.0</v>
      </c>
      <c r="D22" s="75">
        <v>84.0</v>
      </c>
      <c r="E22" s="77">
        <v>0.0085</v>
      </c>
      <c r="F22" s="74">
        <v>11.0</v>
      </c>
    </row>
    <row r="23" ht="15.75" customHeight="1">
      <c r="A23" s="75">
        <v>1.0</v>
      </c>
      <c r="B23" s="75">
        <v>28.0</v>
      </c>
      <c r="C23" s="76">
        <v>9129.0</v>
      </c>
      <c r="D23" s="75">
        <v>771.0</v>
      </c>
      <c r="E23" s="77">
        <v>0.0779</v>
      </c>
      <c r="F23" s="74">
        <v>11.0</v>
      </c>
    </row>
    <row r="24" ht="15.75" customHeight="1">
      <c r="A24" s="75">
        <v>1.0</v>
      </c>
      <c r="B24" s="75">
        <v>33.0</v>
      </c>
      <c r="C24" s="76">
        <v>9511.0</v>
      </c>
      <c r="D24" s="75">
        <v>389.0</v>
      </c>
      <c r="E24" s="77">
        <v>0.0393</v>
      </c>
      <c r="F24" s="74">
        <v>12.0</v>
      </c>
    </row>
    <row r="25" ht="15.75" customHeight="1">
      <c r="A25" s="75">
        <v>1.0</v>
      </c>
      <c r="B25" s="75">
        <v>32.0</v>
      </c>
      <c r="C25" s="76">
        <v>9510.0</v>
      </c>
      <c r="D25" s="75">
        <v>390.0</v>
      </c>
      <c r="E25" s="77">
        <v>0.0394</v>
      </c>
      <c r="F25" s="74">
        <v>12.0</v>
      </c>
    </row>
    <row r="26" ht="15.75" customHeight="1">
      <c r="A26" s="75">
        <v>1.0</v>
      </c>
      <c r="B26" s="75">
        <v>32.0</v>
      </c>
      <c r="C26" s="76">
        <v>10844.0</v>
      </c>
      <c r="D26" s="75">
        <v>-944.0</v>
      </c>
      <c r="E26" s="77">
        <v>-0.0954</v>
      </c>
      <c r="F26" s="74">
        <v>12.0</v>
      </c>
    </row>
    <row r="27" ht="15.75" customHeight="1">
      <c r="A27" s="75">
        <v>1.0</v>
      </c>
      <c r="B27" s="75">
        <v>32.0</v>
      </c>
      <c r="C27" s="76">
        <v>9982.0</v>
      </c>
      <c r="D27" s="75">
        <v>-82.0</v>
      </c>
      <c r="E27" s="77">
        <v>-0.0083</v>
      </c>
      <c r="F27" s="74">
        <v>12.0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A33" s="78" t="s">
        <v>187</v>
      </c>
      <c r="B33" s="79" t="s">
        <v>21</v>
      </c>
      <c r="C33" s="79" t="s">
        <v>25</v>
      </c>
      <c r="D33" s="79" t="s">
        <v>26</v>
      </c>
      <c r="E33" s="64" t="s">
        <v>24</v>
      </c>
      <c r="F33" s="80" t="s">
        <v>3</v>
      </c>
      <c r="G33" s="79" t="s">
        <v>29</v>
      </c>
      <c r="H33" s="79" t="s">
        <v>30</v>
      </c>
      <c r="I33" s="79" t="s">
        <v>34</v>
      </c>
      <c r="J33" s="79" t="s">
        <v>37</v>
      </c>
      <c r="K33" s="79" t="s">
        <v>38</v>
      </c>
      <c r="L33" s="79" t="s">
        <v>43</v>
      </c>
      <c r="M33" s="79" t="s">
        <v>44</v>
      </c>
      <c r="N33" s="79" t="s">
        <v>3</v>
      </c>
      <c r="O33" s="79" t="s">
        <v>4</v>
      </c>
      <c r="P33" s="79" t="s">
        <v>5</v>
      </c>
    </row>
    <row r="34" ht="15.75" customHeight="1">
      <c r="A34" s="71">
        <v>1.0</v>
      </c>
      <c r="B34" s="81">
        <v>1.0</v>
      </c>
      <c r="C34" s="82">
        <v>29.0</v>
      </c>
      <c r="D34" s="82">
        <v>12.0</v>
      </c>
      <c r="E34" s="83">
        <v>7.0</v>
      </c>
      <c r="F34" s="84">
        <v>9600.0</v>
      </c>
      <c r="G34" s="85">
        <v>1087.0</v>
      </c>
      <c r="H34" s="85">
        <v>2060.0</v>
      </c>
      <c r="I34" s="85">
        <v>1217.0</v>
      </c>
      <c r="J34" s="85">
        <v>3000.0</v>
      </c>
      <c r="K34" s="85">
        <v>1147.0</v>
      </c>
      <c r="L34" s="82">
        <v>594.0</v>
      </c>
      <c r="M34" s="82">
        <v>495.0</v>
      </c>
      <c r="N34" s="85">
        <v>9600.0</v>
      </c>
      <c r="O34" s="85">
        <v>300.0</v>
      </c>
      <c r="P34" s="86">
        <v>0.0303</v>
      </c>
    </row>
    <row r="35" ht="15.75" customHeight="1">
      <c r="A35" s="71">
        <v>1.0</v>
      </c>
      <c r="B35" s="81">
        <v>2.0</v>
      </c>
      <c r="C35" s="82">
        <v>60.0</v>
      </c>
      <c r="D35" s="82">
        <v>43.0</v>
      </c>
      <c r="E35" s="83">
        <v>17.0</v>
      </c>
      <c r="F35" s="84">
        <v>10248.0</v>
      </c>
      <c r="G35" s="82">
        <v>944.0</v>
      </c>
      <c r="H35" s="85">
        <v>3125.0</v>
      </c>
      <c r="I35" s="85">
        <v>1505.0</v>
      </c>
      <c r="J35" s="85">
        <v>1500.0</v>
      </c>
      <c r="K35" s="82">
        <v>996.0</v>
      </c>
      <c r="L35" s="85">
        <v>1188.0</v>
      </c>
      <c r="M35" s="82">
        <v>990.0</v>
      </c>
      <c r="N35" s="85">
        <v>10248.0</v>
      </c>
      <c r="O35" s="85">
        <v>9552.0</v>
      </c>
      <c r="P35" s="87">
        <v>0.4824</v>
      </c>
    </row>
    <row r="36" ht="15.75" customHeight="1">
      <c r="A36" s="71">
        <v>2.0</v>
      </c>
      <c r="B36" s="81">
        <v>1.0</v>
      </c>
      <c r="C36" s="82">
        <v>29.0</v>
      </c>
      <c r="D36" s="82">
        <v>14.0</v>
      </c>
      <c r="E36" s="83">
        <v>8.0</v>
      </c>
      <c r="F36" s="84">
        <v>9135.0</v>
      </c>
      <c r="G36" s="82">
        <v>906.0</v>
      </c>
      <c r="H36" s="85">
        <v>2060.0</v>
      </c>
      <c r="I36" s="85">
        <v>1125.0</v>
      </c>
      <c r="J36" s="85">
        <v>3000.0</v>
      </c>
      <c r="K36" s="82">
        <v>955.0</v>
      </c>
      <c r="L36" s="82">
        <v>594.0</v>
      </c>
      <c r="M36" s="82">
        <v>495.0</v>
      </c>
      <c r="N36" s="85">
        <v>9135.0</v>
      </c>
      <c r="O36" s="85">
        <v>765.0</v>
      </c>
      <c r="P36" s="86">
        <v>0.0773</v>
      </c>
    </row>
    <row r="37" ht="15.75" customHeight="1">
      <c r="A37" s="71">
        <v>3.0</v>
      </c>
      <c r="B37" s="81">
        <v>2.0</v>
      </c>
      <c r="C37" s="82">
        <v>57.0</v>
      </c>
      <c r="D37" s="82">
        <v>43.0</v>
      </c>
      <c r="E37" s="83">
        <v>16.0</v>
      </c>
      <c r="F37" s="84">
        <v>10454.0</v>
      </c>
      <c r="G37" s="85">
        <v>1018.0</v>
      </c>
      <c r="H37" s="85">
        <v>3125.0</v>
      </c>
      <c r="I37" s="85">
        <v>1559.0</v>
      </c>
      <c r="J37" s="85">
        <v>1500.0</v>
      </c>
      <c r="K37" s="85">
        <v>1074.0</v>
      </c>
      <c r="L37" s="85">
        <v>1188.0</v>
      </c>
      <c r="M37" s="82">
        <v>990.0</v>
      </c>
      <c r="N37" s="85">
        <v>10454.0</v>
      </c>
      <c r="O37" s="85">
        <v>9346.0</v>
      </c>
      <c r="P37" s="87">
        <v>0.472</v>
      </c>
    </row>
    <row r="38" ht="15.75" customHeight="1">
      <c r="A38" s="71">
        <v>3.0</v>
      </c>
      <c r="B38" s="81">
        <v>1.0</v>
      </c>
      <c r="C38" s="82">
        <v>33.0</v>
      </c>
      <c r="D38" s="82">
        <v>26.0</v>
      </c>
      <c r="E38" s="83">
        <v>7.0</v>
      </c>
      <c r="F38" s="84">
        <v>9392.0</v>
      </c>
      <c r="G38" s="82">
        <v>924.0</v>
      </c>
      <c r="H38" s="85">
        <v>2344.0</v>
      </c>
      <c r="I38" s="85">
        <v>1060.0</v>
      </c>
      <c r="J38" s="85">
        <v>3000.0</v>
      </c>
      <c r="K38" s="82">
        <v>975.0</v>
      </c>
      <c r="L38" s="82">
        <v>594.0</v>
      </c>
      <c r="M38" s="82">
        <v>495.0</v>
      </c>
      <c r="N38" s="85">
        <v>9392.0</v>
      </c>
      <c r="O38" s="85">
        <v>508.0</v>
      </c>
      <c r="P38" s="86">
        <v>0.0513</v>
      </c>
    </row>
    <row r="39" ht="15.75" customHeight="1">
      <c r="A39" s="71">
        <v>6.0</v>
      </c>
      <c r="B39" s="81">
        <v>1.0</v>
      </c>
      <c r="C39" s="82">
        <v>32.0</v>
      </c>
      <c r="D39" s="82">
        <v>22.0</v>
      </c>
      <c r="E39" s="83">
        <v>9.0</v>
      </c>
      <c r="F39" s="84">
        <v>9368.0</v>
      </c>
      <c r="G39" s="82">
        <v>927.0</v>
      </c>
      <c r="H39" s="85">
        <v>2273.0</v>
      </c>
      <c r="I39" s="85">
        <v>1101.0</v>
      </c>
      <c r="J39" s="85">
        <v>3000.0</v>
      </c>
      <c r="K39" s="82">
        <v>978.0</v>
      </c>
      <c r="L39" s="82">
        <v>594.0</v>
      </c>
      <c r="M39" s="82">
        <v>495.0</v>
      </c>
      <c r="N39" s="85">
        <v>9368.0</v>
      </c>
      <c r="O39" s="85">
        <v>532.0</v>
      </c>
      <c r="P39" s="86">
        <v>0.0537</v>
      </c>
    </row>
    <row r="40" ht="15.75" customHeight="1">
      <c r="A40" s="71">
        <v>6.0</v>
      </c>
      <c r="B40" s="81">
        <v>1.0</v>
      </c>
      <c r="C40" s="82">
        <v>33.0</v>
      </c>
      <c r="D40" s="82">
        <v>27.0</v>
      </c>
      <c r="E40" s="83">
        <v>8.0</v>
      </c>
      <c r="F40" s="84">
        <v>10694.0</v>
      </c>
      <c r="G40" s="82">
        <v>972.0</v>
      </c>
      <c r="H40" s="85">
        <v>2344.0</v>
      </c>
      <c r="I40" s="85">
        <v>2263.0</v>
      </c>
      <c r="J40" s="85">
        <v>3000.0</v>
      </c>
      <c r="K40" s="85">
        <v>1026.0</v>
      </c>
      <c r="L40" s="82">
        <v>594.0</v>
      </c>
      <c r="M40" s="82">
        <v>495.0</v>
      </c>
      <c r="N40" s="85">
        <v>10694.0</v>
      </c>
      <c r="O40" s="85">
        <v>-794.0</v>
      </c>
      <c r="P40" s="86">
        <v>-0.0802</v>
      </c>
    </row>
    <row r="41" ht="15.75" customHeight="1">
      <c r="A41" s="71">
        <v>7.0</v>
      </c>
      <c r="B41" s="81">
        <v>2.0</v>
      </c>
      <c r="C41" s="82">
        <v>59.0</v>
      </c>
      <c r="D41" s="82">
        <v>27.0</v>
      </c>
      <c r="E41" s="83">
        <v>17.0</v>
      </c>
      <c r="F41" s="84">
        <v>11181.0</v>
      </c>
      <c r="G41" s="82">
        <v>996.0</v>
      </c>
      <c r="H41" s="85">
        <v>3125.0</v>
      </c>
      <c r="I41" s="85">
        <v>2331.0</v>
      </c>
      <c r="J41" s="85">
        <v>1500.0</v>
      </c>
      <c r="K41" s="85">
        <v>1051.0</v>
      </c>
      <c r="L41" s="85">
        <v>1188.0</v>
      </c>
      <c r="M41" s="82">
        <v>990.0</v>
      </c>
      <c r="N41" s="85">
        <v>11181.0</v>
      </c>
      <c r="O41" s="85">
        <v>8619.0</v>
      </c>
      <c r="P41" s="87">
        <v>0.4353</v>
      </c>
    </row>
    <row r="42" ht="15.75" customHeight="1">
      <c r="A42" s="71">
        <v>7.0</v>
      </c>
      <c r="B42" s="81">
        <v>1.0</v>
      </c>
      <c r="C42" s="82">
        <v>31.0</v>
      </c>
      <c r="D42" s="82">
        <v>15.0</v>
      </c>
      <c r="E42" s="83">
        <v>8.0</v>
      </c>
      <c r="F42" s="84">
        <v>10641.0</v>
      </c>
      <c r="G42" s="85">
        <v>1072.0</v>
      </c>
      <c r="H42" s="85">
        <v>2202.0</v>
      </c>
      <c r="I42" s="85">
        <v>2147.0</v>
      </c>
      <c r="J42" s="85">
        <v>3000.0</v>
      </c>
      <c r="K42" s="85">
        <v>1131.0</v>
      </c>
      <c r="L42" s="82">
        <v>594.0</v>
      </c>
      <c r="M42" s="82">
        <v>495.0</v>
      </c>
      <c r="N42" s="85">
        <v>10641.0</v>
      </c>
      <c r="O42" s="85">
        <v>-741.0</v>
      </c>
      <c r="P42" s="86">
        <v>-0.0748</v>
      </c>
    </row>
    <row r="43" ht="15.75" customHeight="1">
      <c r="A43" s="71">
        <v>7.0</v>
      </c>
      <c r="B43" s="81">
        <v>1.0</v>
      </c>
      <c r="C43" s="82">
        <v>30.0</v>
      </c>
      <c r="D43" s="82">
        <v>27.0</v>
      </c>
      <c r="E43" s="83">
        <v>8.0</v>
      </c>
      <c r="F43" s="84">
        <v>9427.0</v>
      </c>
      <c r="G43" s="82">
        <v>924.0</v>
      </c>
      <c r="H43" s="85">
        <v>2131.0</v>
      </c>
      <c r="I43" s="85">
        <v>1309.0</v>
      </c>
      <c r="J43" s="85">
        <v>3000.0</v>
      </c>
      <c r="K43" s="82">
        <v>974.0</v>
      </c>
      <c r="L43" s="82">
        <v>594.0</v>
      </c>
      <c r="M43" s="82">
        <v>495.0</v>
      </c>
      <c r="N43" s="85">
        <v>9427.0</v>
      </c>
      <c r="O43" s="85">
        <v>473.0</v>
      </c>
      <c r="P43" s="86">
        <v>0.0478</v>
      </c>
    </row>
    <row r="44" ht="15.75" customHeight="1">
      <c r="A44" s="71">
        <v>8.0</v>
      </c>
      <c r="B44" s="81">
        <v>1.0</v>
      </c>
      <c r="C44" s="82">
        <v>31.0</v>
      </c>
      <c r="D44" s="82">
        <v>28.0</v>
      </c>
      <c r="E44" s="83">
        <v>9.0</v>
      </c>
      <c r="F44" s="84">
        <v>9617.0</v>
      </c>
      <c r="G44" s="82">
        <v>919.0</v>
      </c>
      <c r="H44" s="85">
        <v>2202.0</v>
      </c>
      <c r="I44" s="85">
        <v>1437.0</v>
      </c>
      <c r="J44" s="85">
        <v>3000.0</v>
      </c>
      <c r="K44" s="82">
        <v>970.0</v>
      </c>
      <c r="L44" s="82">
        <v>594.0</v>
      </c>
      <c r="M44" s="82">
        <v>495.0</v>
      </c>
      <c r="N44" s="85">
        <v>9617.0</v>
      </c>
      <c r="O44" s="85">
        <v>283.0</v>
      </c>
      <c r="P44" s="86">
        <v>0.0286</v>
      </c>
    </row>
    <row r="45" ht="15.75" customHeight="1">
      <c r="A45" s="71">
        <v>8.0</v>
      </c>
      <c r="B45" s="81">
        <v>1.0</v>
      </c>
      <c r="C45" s="82">
        <v>28.0</v>
      </c>
      <c r="D45" s="82">
        <v>16.0</v>
      </c>
      <c r="E45" s="83">
        <v>8.0</v>
      </c>
      <c r="F45" s="84">
        <v>9898.0</v>
      </c>
      <c r="G45" s="85">
        <v>1008.0</v>
      </c>
      <c r="H45" s="85">
        <v>1989.0</v>
      </c>
      <c r="I45" s="85">
        <v>1749.0</v>
      </c>
      <c r="J45" s="85">
        <v>3000.0</v>
      </c>
      <c r="K45" s="85">
        <v>1063.0</v>
      </c>
      <c r="L45" s="82">
        <v>594.0</v>
      </c>
      <c r="M45" s="82">
        <v>495.0</v>
      </c>
      <c r="N45" s="85">
        <v>9898.0</v>
      </c>
      <c r="O45" s="85">
        <v>2.0</v>
      </c>
      <c r="P45" s="86">
        <v>2.0E-4</v>
      </c>
    </row>
    <row r="46" ht="15.75" customHeight="1">
      <c r="A46" s="71">
        <v>9.0</v>
      </c>
      <c r="B46" s="81">
        <v>1.0</v>
      </c>
      <c r="C46" s="82">
        <v>29.0</v>
      </c>
      <c r="D46" s="82">
        <v>23.0</v>
      </c>
      <c r="E46" s="83">
        <v>8.0</v>
      </c>
      <c r="F46" s="84">
        <v>9720.0</v>
      </c>
      <c r="G46" s="85">
        <v>1012.0</v>
      </c>
      <c r="H46" s="85">
        <v>2060.0</v>
      </c>
      <c r="I46" s="85">
        <v>1491.0</v>
      </c>
      <c r="J46" s="85">
        <v>3000.0</v>
      </c>
      <c r="K46" s="85">
        <v>1068.0</v>
      </c>
      <c r="L46" s="82">
        <v>594.0</v>
      </c>
      <c r="M46" s="82">
        <v>495.0</v>
      </c>
      <c r="N46" s="85">
        <v>9720.0</v>
      </c>
      <c r="O46" s="85">
        <v>180.0</v>
      </c>
      <c r="P46" s="86">
        <v>0.0182</v>
      </c>
    </row>
    <row r="47" ht="15.75" customHeight="1">
      <c r="A47" s="71">
        <v>9.0</v>
      </c>
      <c r="B47" s="81">
        <v>1.0</v>
      </c>
      <c r="C47" s="82">
        <v>28.0</v>
      </c>
      <c r="D47" s="82">
        <v>6.0</v>
      </c>
      <c r="E47" s="83">
        <v>7.0</v>
      </c>
      <c r="F47" s="84">
        <v>9455.0</v>
      </c>
      <c r="G47" s="82">
        <v>967.0</v>
      </c>
      <c r="H47" s="85">
        <v>1989.0</v>
      </c>
      <c r="I47" s="85">
        <v>1390.0</v>
      </c>
      <c r="J47" s="85">
        <v>3000.0</v>
      </c>
      <c r="K47" s="85">
        <v>1020.0</v>
      </c>
      <c r="L47" s="82">
        <v>594.0</v>
      </c>
      <c r="M47" s="82">
        <v>495.0</v>
      </c>
      <c r="N47" s="85">
        <v>9455.0</v>
      </c>
      <c r="O47" s="85">
        <v>445.0</v>
      </c>
      <c r="P47" s="86">
        <v>0.0449</v>
      </c>
    </row>
    <row r="48" ht="15.75" customHeight="1">
      <c r="A48" s="71">
        <v>9.0</v>
      </c>
      <c r="B48" s="81">
        <v>2.0</v>
      </c>
      <c r="C48" s="82">
        <v>59.0</v>
      </c>
      <c r="D48" s="82">
        <v>39.0</v>
      </c>
      <c r="E48" s="83">
        <v>17.0</v>
      </c>
      <c r="F48" s="84">
        <v>10606.0</v>
      </c>
      <c r="G48" s="85">
        <v>1028.0</v>
      </c>
      <c r="H48" s="85">
        <v>3125.0</v>
      </c>
      <c r="I48" s="85">
        <v>1690.0</v>
      </c>
      <c r="J48" s="85">
        <v>1500.0</v>
      </c>
      <c r="K48" s="85">
        <v>1085.0</v>
      </c>
      <c r="L48" s="85">
        <v>1188.0</v>
      </c>
      <c r="M48" s="82">
        <v>990.0</v>
      </c>
      <c r="N48" s="85">
        <v>10606.0</v>
      </c>
      <c r="O48" s="85">
        <v>9194.0</v>
      </c>
      <c r="P48" s="87">
        <v>0.4643</v>
      </c>
    </row>
    <row r="49" ht="15.75" customHeight="1">
      <c r="A49" s="71">
        <v>10.0</v>
      </c>
      <c r="B49" s="81">
        <v>2.0</v>
      </c>
      <c r="C49" s="82">
        <v>63.0</v>
      </c>
      <c r="D49" s="82">
        <v>54.0</v>
      </c>
      <c r="E49" s="83">
        <v>16.0</v>
      </c>
      <c r="F49" s="84">
        <v>10863.0</v>
      </c>
      <c r="G49" s="82">
        <v>977.0</v>
      </c>
      <c r="H49" s="85">
        <v>3125.0</v>
      </c>
      <c r="I49" s="85">
        <v>2053.0</v>
      </c>
      <c r="J49" s="85">
        <v>1500.0</v>
      </c>
      <c r="K49" s="85">
        <v>1030.0</v>
      </c>
      <c r="L49" s="85">
        <v>1188.0</v>
      </c>
      <c r="M49" s="82">
        <v>990.0</v>
      </c>
      <c r="N49" s="85">
        <v>10863.0</v>
      </c>
      <c r="O49" s="85">
        <v>8937.0</v>
      </c>
      <c r="P49" s="87">
        <v>0.4514</v>
      </c>
    </row>
    <row r="50" ht="15.75" customHeight="1">
      <c r="A50" s="71">
        <v>10.0</v>
      </c>
      <c r="B50" s="81">
        <v>1.0</v>
      </c>
      <c r="C50" s="82">
        <v>33.0</v>
      </c>
      <c r="D50" s="82">
        <v>6.0</v>
      </c>
      <c r="E50" s="83">
        <v>8.0</v>
      </c>
      <c r="F50" s="84">
        <v>9553.0</v>
      </c>
      <c r="G50" s="82">
        <v>979.0</v>
      </c>
      <c r="H50" s="85">
        <v>2344.0</v>
      </c>
      <c r="I50" s="85">
        <v>1108.0</v>
      </c>
      <c r="J50" s="85">
        <v>3000.0</v>
      </c>
      <c r="K50" s="85">
        <v>1033.0</v>
      </c>
      <c r="L50" s="82">
        <v>594.0</v>
      </c>
      <c r="M50" s="82">
        <v>495.0</v>
      </c>
      <c r="N50" s="85">
        <v>9553.0</v>
      </c>
      <c r="O50" s="85">
        <v>347.0</v>
      </c>
      <c r="P50" s="86">
        <v>0.0351</v>
      </c>
    </row>
    <row r="51" ht="15.75" customHeight="1">
      <c r="A51" s="71">
        <v>11.0</v>
      </c>
      <c r="B51" s="81">
        <v>1.0</v>
      </c>
      <c r="C51" s="82">
        <v>29.0</v>
      </c>
      <c r="D51" s="82">
        <v>28.0</v>
      </c>
      <c r="E51" s="83">
        <v>8.0</v>
      </c>
      <c r="F51" s="84">
        <v>9928.0</v>
      </c>
      <c r="G51" s="85">
        <v>1082.0</v>
      </c>
      <c r="H51" s="85">
        <v>2060.0</v>
      </c>
      <c r="I51" s="85">
        <v>1556.0</v>
      </c>
      <c r="J51" s="85">
        <v>3000.0</v>
      </c>
      <c r="K51" s="85">
        <v>1141.0</v>
      </c>
      <c r="L51" s="82">
        <v>594.0</v>
      </c>
      <c r="M51" s="82">
        <v>495.0</v>
      </c>
      <c r="N51" s="85">
        <v>9928.0</v>
      </c>
      <c r="O51" s="85">
        <v>-28.0</v>
      </c>
      <c r="P51" s="86">
        <v>-0.0028</v>
      </c>
    </row>
    <row r="52" ht="15.75" customHeight="1">
      <c r="A52" s="71">
        <v>11.0</v>
      </c>
      <c r="B52" s="81">
        <v>1.0</v>
      </c>
      <c r="C52" s="82">
        <v>28.0</v>
      </c>
      <c r="D52" s="82">
        <v>25.0</v>
      </c>
      <c r="E52" s="83">
        <v>9.0</v>
      </c>
      <c r="F52" s="84">
        <v>9129.0</v>
      </c>
      <c r="G52" s="82">
        <v>884.0</v>
      </c>
      <c r="H52" s="85">
        <v>1989.0</v>
      </c>
      <c r="I52" s="85">
        <v>1235.0</v>
      </c>
      <c r="J52" s="85">
        <v>3000.0</v>
      </c>
      <c r="K52" s="82">
        <v>932.0</v>
      </c>
      <c r="L52" s="82">
        <v>594.0</v>
      </c>
      <c r="M52" s="82">
        <v>495.0</v>
      </c>
      <c r="N52" s="85">
        <v>9129.0</v>
      </c>
      <c r="O52" s="85">
        <v>771.0</v>
      </c>
      <c r="P52" s="86">
        <v>0.0779</v>
      </c>
    </row>
    <row r="53" ht="15.75" customHeight="1">
      <c r="A53" s="71">
        <v>12.0</v>
      </c>
      <c r="B53" s="81">
        <v>1.0</v>
      </c>
      <c r="C53" s="82">
        <v>33.0</v>
      </c>
      <c r="D53" s="82">
        <v>9.0</v>
      </c>
      <c r="E53" s="83">
        <v>8.0</v>
      </c>
      <c r="F53" s="84">
        <v>9511.0</v>
      </c>
      <c r="G53" s="82">
        <v>970.0</v>
      </c>
      <c r="H53" s="85">
        <v>2344.0</v>
      </c>
      <c r="I53" s="85">
        <v>1085.0</v>
      </c>
      <c r="J53" s="85">
        <v>3000.0</v>
      </c>
      <c r="K53" s="85">
        <v>1023.0</v>
      </c>
      <c r="L53" s="82">
        <v>594.0</v>
      </c>
      <c r="M53" s="82">
        <v>495.0</v>
      </c>
      <c r="N53" s="85">
        <v>9511.0</v>
      </c>
      <c r="O53" s="85">
        <v>389.0</v>
      </c>
      <c r="P53" s="86">
        <v>0.0393</v>
      </c>
    </row>
    <row r="54" ht="15.75" customHeight="1">
      <c r="A54" s="71">
        <v>12.0</v>
      </c>
      <c r="B54" s="81">
        <v>1.0</v>
      </c>
      <c r="C54" s="82">
        <v>32.0</v>
      </c>
      <c r="D54" s="82">
        <v>16.0</v>
      </c>
      <c r="E54" s="83">
        <v>8.0</v>
      </c>
      <c r="F54" s="84">
        <v>9510.0</v>
      </c>
      <c r="G54" s="82">
        <v>918.0</v>
      </c>
      <c r="H54" s="85">
        <v>2273.0</v>
      </c>
      <c r="I54" s="85">
        <v>1262.0</v>
      </c>
      <c r="J54" s="85">
        <v>3000.0</v>
      </c>
      <c r="K54" s="82">
        <v>968.0</v>
      </c>
      <c r="L54" s="82">
        <v>594.0</v>
      </c>
      <c r="M54" s="82">
        <v>495.0</v>
      </c>
      <c r="N54" s="85">
        <v>9510.0</v>
      </c>
      <c r="O54" s="85">
        <v>390.0</v>
      </c>
      <c r="P54" s="86">
        <v>0.0394</v>
      </c>
    </row>
    <row r="55" ht="15.75" customHeight="1">
      <c r="A55" s="88">
        <v>12.0</v>
      </c>
      <c r="B55" s="81">
        <v>1.0</v>
      </c>
      <c r="C55" s="82">
        <v>32.0</v>
      </c>
      <c r="D55" s="82">
        <v>17.0</v>
      </c>
      <c r="E55" s="83">
        <v>7.0</v>
      </c>
      <c r="F55" s="84">
        <v>10844.0</v>
      </c>
      <c r="G55" s="85">
        <v>1016.0</v>
      </c>
      <c r="H55" s="85">
        <v>2273.0</v>
      </c>
      <c r="I55" s="85">
        <v>2394.0</v>
      </c>
      <c r="J55" s="85">
        <v>3000.0</v>
      </c>
      <c r="K55" s="85">
        <v>1072.0</v>
      </c>
      <c r="L55" s="82">
        <v>594.0</v>
      </c>
      <c r="M55" s="82">
        <v>495.0</v>
      </c>
      <c r="N55" s="85">
        <v>10844.0</v>
      </c>
      <c r="O55" s="85">
        <v>-944.0</v>
      </c>
      <c r="P55" s="86">
        <v>-0.0954</v>
      </c>
    </row>
    <row r="56" ht="15.75" customHeight="1">
      <c r="A56" s="88">
        <v>12.0</v>
      </c>
      <c r="B56" s="81">
        <v>1.0</v>
      </c>
      <c r="C56" s="82">
        <v>32.0</v>
      </c>
      <c r="D56" s="82">
        <v>7.0</v>
      </c>
      <c r="E56" s="83">
        <v>8.0</v>
      </c>
      <c r="F56" s="84">
        <v>9982.0</v>
      </c>
      <c r="G56" s="85">
        <v>1035.0</v>
      </c>
      <c r="H56" s="85">
        <v>2273.0</v>
      </c>
      <c r="I56" s="85">
        <v>1493.0</v>
      </c>
      <c r="J56" s="85">
        <v>3000.0</v>
      </c>
      <c r="K56" s="85">
        <v>1092.0</v>
      </c>
      <c r="L56" s="82">
        <v>594.0</v>
      </c>
      <c r="M56" s="82">
        <v>495.0</v>
      </c>
      <c r="N56" s="85">
        <v>9982.0</v>
      </c>
      <c r="O56" s="85">
        <v>-82.0</v>
      </c>
      <c r="P56" s="86">
        <v>-0.0083</v>
      </c>
    </row>
    <row r="57" ht="15.75" customHeight="1">
      <c r="N57" s="55">
        <f t="shared" ref="N57:O57" si="1">AVERAGE(O34:O56)</f>
        <v>2106.26087</v>
      </c>
      <c r="O57" s="89">
        <f t="shared" si="1"/>
        <v>0.1125173913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>
      <c r="A66" s="78" t="s">
        <v>187</v>
      </c>
      <c r="B66" s="79" t="s">
        <v>21</v>
      </c>
      <c r="C66" s="79" t="s">
        <v>25</v>
      </c>
      <c r="D66" s="79" t="s">
        <v>26</v>
      </c>
      <c r="E66" s="64" t="s">
        <v>24</v>
      </c>
      <c r="F66" s="80" t="s">
        <v>3</v>
      </c>
      <c r="G66" s="79" t="s">
        <v>29</v>
      </c>
      <c r="H66" s="79" t="s">
        <v>30</v>
      </c>
      <c r="I66" s="79" t="s">
        <v>34</v>
      </c>
      <c r="J66" s="79" t="s">
        <v>37</v>
      </c>
      <c r="K66" s="79" t="s">
        <v>38</v>
      </c>
      <c r="L66" s="79" t="s">
        <v>43</v>
      </c>
      <c r="M66" s="79" t="s">
        <v>44</v>
      </c>
      <c r="N66" s="79" t="s">
        <v>3</v>
      </c>
      <c r="O66" s="79" t="s">
        <v>4</v>
      </c>
      <c r="P66" s="79" t="s">
        <v>5</v>
      </c>
    </row>
    <row r="67" ht="15.75" customHeight="1">
      <c r="A67" s="71">
        <v>1.0</v>
      </c>
      <c r="B67" s="81">
        <v>1.0</v>
      </c>
      <c r="C67" s="82">
        <v>29.0</v>
      </c>
      <c r="D67" s="82">
        <v>12.0</v>
      </c>
      <c r="E67" s="83">
        <v>7.0</v>
      </c>
      <c r="F67" s="84">
        <v>9600.0</v>
      </c>
      <c r="G67" s="85">
        <v>1087.0</v>
      </c>
      <c r="H67" s="85">
        <v>2060.0</v>
      </c>
      <c r="I67" s="85">
        <v>1217.0</v>
      </c>
      <c r="J67" s="85">
        <v>3000.0</v>
      </c>
      <c r="K67" s="85">
        <v>1147.0</v>
      </c>
      <c r="L67" s="82">
        <v>594.0</v>
      </c>
      <c r="M67" s="82">
        <v>495.0</v>
      </c>
      <c r="N67" s="85">
        <f t="shared" ref="N67:N92" si="2">SUM(G67:M67)</f>
        <v>9600</v>
      </c>
      <c r="O67" s="85">
        <v>300.0</v>
      </c>
      <c r="P67" s="86">
        <v>0.0303</v>
      </c>
    </row>
    <row r="68" ht="15.75" customHeight="1">
      <c r="A68" s="71">
        <v>1.0</v>
      </c>
      <c r="B68" s="81">
        <v>2.0</v>
      </c>
      <c r="C68" s="82">
        <v>60.0</v>
      </c>
      <c r="D68" s="82">
        <v>43.0</v>
      </c>
      <c r="E68" s="83">
        <v>17.0</v>
      </c>
      <c r="F68" s="84">
        <v>10248.0</v>
      </c>
      <c r="G68" s="82">
        <v>944.0</v>
      </c>
      <c r="H68" s="85">
        <v>3125.0</v>
      </c>
      <c r="I68" s="85">
        <v>1505.0</v>
      </c>
      <c r="J68" s="85">
        <v>1500.0</v>
      </c>
      <c r="K68" s="82">
        <v>996.0</v>
      </c>
      <c r="L68" s="85">
        <v>1188.0</v>
      </c>
      <c r="M68" s="82">
        <v>990.0</v>
      </c>
      <c r="N68" s="85">
        <f t="shared" si="2"/>
        <v>10248</v>
      </c>
      <c r="O68" s="85">
        <v>9552.0</v>
      </c>
      <c r="P68" s="87">
        <v>0.4824</v>
      </c>
    </row>
    <row r="69" ht="15.75" customHeight="1">
      <c r="A69" s="71">
        <v>2.0</v>
      </c>
      <c r="B69" s="81">
        <v>1.0</v>
      </c>
      <c r="C69" s="82">
        <v>29.0</v>
      </c>
      <c r="D69" s="82">
        <v>14.0</v>
      </c>
      <c r="E69" s="83">
        <v>8.0</v>
      </c>
      <c r="F69" s="84">
        <v>9135.0</v>
      </c>
      <c r="G69" s="82">
        <v>906.0</v>
      </c>
      <c r="H69" s="85">
        <v>2060.0</v>
      </c>
      <c r="I69" s="85">
        <v>1125.0</v>
      </c>
      <c r="J69" s="85">
        <v>3000.0</v>
      </c>
      <c r="K69" s="82">
        <v>955.0</v>
      </c>
      <c r="L69" s="82">
        <v>594.0</v>
      </c>
      <c r="M69" s="82">
        <v>495.0</v>
      </c>
      <c r="N69" s="85">
        <f t="shared" si="2"/>
        <v>9135</v>
      </c>
      <c r="O69" s="85">
        <v>765.0</v>
      </c>
      <c r="P69" s="86">
        <v>0.0773</v>
      </c>
    </row>
    <row r="70" ht="15.75" customHeight="1">
      <c r="A70" s="71">
        <v>3.0</v>
      </c>
      <c r="B70" s="81">
        <v>2.0</v>
      </c>
      <c r="C70" s="82">
        <v>57.0</v>
      </c>
      <c r="D70" s="82">
        <v>43.0</v>
      </c>
      <c r="E70" s="83">
        <v>16.0</v>
      </c>
      <c r="F70" s="84">
        <v>10454.0</v>
      </c>
      <c r="G70" s="85">
        <v>1018.0</v>
      </c>
      <c r="H70" s="85">
        <v>3125.0</v>
      </c>
      <c r="I70" s="85">
        <v>1559.0</v>
      </c>
      <c r="J70" s="85">
        <v>1500.0</v>
      </c>
      <c r="K70" s="85">
        <v>1074.0</v>
      </c>
      <c r="L70" s="85">
        <v>1188.0</v>
      </c>
      <c r="M70" s="82">
        <v>990.0</v>
      </c>
      <c r="N70" s="85">
        <f t="shared" si="2"/>
        <v>10454</v>
      </c>
      <c r="O70" s="85">
        <v>9346.0</v>
      </c>
      <c r="P70" s="87">
        <v>0.472</v>
      </c>
    </row>
    <row r="71" ht="15.75" customHeight="1">
      <c r="A71" s="71">
        <v>3.0</v>
      </c>
      <c r="B71" s="81">
        <v>1.0</v>
      </c>
      <c r="C71" s="82">
        <v>33.0</v>
      </c>
      <c r="D71" s="82">
        <v>26.0</v>
      </c>
      <c r="E71" s="83">
        <v>7.0</v>
      </c>
      <c r="F71" s="84">
        <v>9392.0</v>
      </c>
      <c r="G71" s="82">
        <v>924.0</v>
      </c>
      <c r="H71" s="85">
        <v>2344.0</v>
      </c>
      <c r="I71" s="85">
        <v>1060.0</v>
      </c>
      <c r="J71" s="85">
        <v>3000.0</v>
      </c>
      <c r="K71" s="82">
        <v>975.0</v>
      </c>
      <c r="L71" s="82">
        <v>594.0</v>
      </c>
      <c r="M71" s="82">
        <v>495.0</v>
      </c>
      <c r="N71" s="85">
        <f t="shared" si="2"/>
        <v>9392</v>
      </c>
      <c r="O71" s="85">
        <v>508.0</v>
      </c>
      <c r="P71" s="86">
        <v>0.0513</v>
      </c>
    </row>
    <row r="72" ht="15.75" customHeight="1">
      <c r="A72" s="71">
        <v>6.0</v>
      </c>
      <c r="B72" s="81">
        <v>1.0</v>
      </c>
      <c r="C72" s="82">
        <v>32.0</v>
      </c>
      <c r="D72" s="82">
        <v>22.0</v>
      </c>
      <c r="E72" s="83">
        <v>9.0</v>
      </c>
      <c r="F72" s="84">
        <v>9368.0</v>
      </c>
      <c r="G72" s="82">
        <v>927.0</v>
      </c>
      <c r="H72" s="85">
        <v>2273.0</v>
      </c>
      <c r="I72" s="85">
        <v>1101.0</v>
      </c>
      <c r="J72" s="85">
        <v>3000.0</v>
      </c>
      <c r="K72" s="82">
        <v>978.0</v>
      </c>
      <c r="L72" s="82">
        <v>594.0</v>
      </c>
      <c r="M72" s="82">
        <v>495.0</v>
      </c>
      <c r="N72" s="85">
        <f t="shared" si="2"/>
        <v>9368</v>
      </c>
      <c r="O72" s="85">
        <v>532.0</v>
      </c>
      <c r="P72" s="86">
        <v>0.0537</v>
      </c>
    </row>
    <row r="73" ht="15.75" customHeight="1">
      <c r="A73" s="71">
        <v>6.0</v>
      </c>
      <c r="B73" s="81">
        <v>1.0</v>
      </c>
      <c r="C73" s="82">
        <v>32.0</v>
      </c>
      <c r="D73" s="82">
        <v>7.0</v>
      </c>
      <c r="E73" s="83">
        <v>8.0</v>
      </c>
      <c r="F73" s="84">
        <v>11099.0</v>
      </c>
      <c r="G73" s="85">
        <v>1057.0</v>
      </c>
      <c r="H73" s="85">
        <v>2273.0</v>
      </c>
      <c r="I73" s="85">
        <v>2565.0</v>
      </c>
      <c r="J73" s="85">
        <v>3000.0</v>
      </c>
      <c r="K73" s="85">
        <v>1115.0</v>
      </c>
      <c r="L73" s="82">
        <v>594.0</v>
      </c>
      <c r="M73" s="82">
        <v>495.0</v>
      </c>
      <c r="N73" s="85">
        <f t="shared" si="2"/>
        <v>11099</v>
      </c>
      <c r="O73" s="85">
        <v>-1199.0</v>
      </c>
      <c r="P73" s="86">
        <v>-0.1211</v>
      </c>
    </row>
    <row r="74" ht="15.75" customHeight="1">
      <c r="A74" s="71">
        <v>6.0</v>
      </c>
      <c r="B74" s="81">
        <v>1.0</v>
      </c>
      <c r="C74" s="82">
        <v>33.0</v>
      </c>
      <c r="D74" s="82">
        <v>27.0</v>
      </c>
      <c r="E74" s="83">
        <v>8.0</v>
      </c>
      <c r="F74" s="84">
        <v>10694.0</v>
      </c>
      <c r="G74" s="82">
        <v>972.0</v>
      </c>
      <c r="H74" s="85">
        <v>2344.0</v>
      </c>
      <c r="I74" s="85">
        <v>2263.0</v>
      </c>
      <c r="J74" s="85">
        <v>3000.0</v>
      </c>
      <c r="K74" s="85">
        <v>1026.0</v>
      </c>
      <c r="L74" s="82">
        <v>594.0</v>
      </c>
      <c r="M74" s="82">
        <v>495.0</v>
      </c>
      <c r="N74" s="85">
        <f t="shared" si="2"/>
        <v>10694</v>
      </c>
      <c r="O74" s="85">
        <v>-794.0</v>
      </c>
      <c r="P74" s="86">
        <v>-0.0802</v>
      </c>
    </row>
    <row r="75" ht="15.75" customHeight="1">
      <c r="A75" s="71">
        <v>7.0</v>
      </c>
      <c r="B75" s="81">
        <v>2.0</v>
      </c>
      <c r="C75" s="82">
        <v>59.0</v>
      </c>
      <c r="D75" s="82">
        <v>27.0</v>
      </c>
      <c r="E75" s="83">
        <v>17.0</v>
      </c>
      <c r="F75" s="84">
        <v>11181.0</v>
      </c>
      <c r="G75" s="82">
        <v>996.0</v>
      </c>
      <c r="H75" s="85">
        <v>3125.0</v>
      </c>
      <c r="I75" s="85">
        <v>2331.0</v>
      </c>
      <c r="J75" s="85">
        <v>1500.0</v>
      </c>
      <c r="K75" s="85">
        <v>1051.0</v>
      </c>
      <c r="L75" s="85">
        <v>1188.0</v>
      </c>
      <c r="M75" s="82">
        <v>990.0</v>
      </c>
      <c r="N75" s="85">
        <f t="shared" si="2"/>
        <v>11181</v>
      </c>
      <c r="O75" s="85">
        <v>8619.0</v>
      </c>
      <c r="P75" s="87">
        <v>0.4353</v>
      </c>
    </row>
    <row r="76" ht="15.75" customHeight="1">
      <c r="A76" s="71">
        <v>7.0</v>
      </c>
      <c r="B76" s="81">
        <v>1.0</v>
      </c>
      <c r="C76" s="82">
        <v>31.0</v>
      </c>
      <c r="D76" s="82">
        <v>15.0</v>
      </c>
      <c r="E76" s="83">
        <v>8.0</v>
      </c>
      <c r="F76" s="84">
        <v>10641.0</v>
      </c>
      <c r="G76" s="85">
        <v>1072.0</v>
      </c>
      <c r="H76" s="85">
        <v>2202.0</v>
      </c>
      <c r="I76" s="85">
        <v>2147.0</v>
      </c>
      <c r="J76" s="85">
        <v>3000.0</v>
      </c>
      <c r="K76" s="85">
        <v>1131.0</v>
      </c>
      <c r="L76" s="82">
        <v>594.0</v>
      </c>
      <c r="M76" s="82">
        <v>495.0</v>
      </c>
      <c r="N76" s="85">
        <f t="shared" si="2"/>
        <v>10641</v>
      </c>
      <c r="O76" s="85">
        <v>-741.0</v>
      </c>
      <c r="P76" s="86">
        <v>-0.0748</v>
      </c>
    </row>
    <row r="77" ht="15.75" customHeight="1">
      <c r="A77" s="71">
        <v>7.0</v>
      </c>
      <c r="B77" s="81">
        <v>1.0</v>
      </c>
      <c r="C77" s="82">
        <v>30.0</v>
      </c>
      <c r="D77" s="82">
        <v>27.0</v>
      </c>
      <c r="E77" s="83">
        <v>8.0</v>
      </c>
      <c r="F77" s="84">
        <v>9427.0</v>
      </c>
      <c r="G77" s="82">
        <v>924.0</v>
      </c>
      <c r="H77" s="85">
        <v>2131.0</v>
      </c>
      <c r="I77" s="85">
        <v>1309.0</v>
      </c>
      <c r="J77" s="85">
        <v>3000.0</v>
      </c>
      <c r="K77" s="82">
        <v>974.0</v>
      </c>
      <c r="L77" s="82">
        <v>594.0</v>
      </c>
      <c r="M77" s="82">
        <v>495.0</v>
      </c>
      <c r="N77" s="85">
        <f t="shared" si="2"/>
        <v>9427</v>
      </c>
      <c r="O77" s="85">
        <v>473.0</v>
      </c>
      <c r="P77" s="86">
        <v>0.0478</v>
      </c>
    </row>
    <row r="78" ht="15.75" customHeight="1">
      <c r="A78" s="71">
        <v>8.0</v>
      </c>
      <c r="B78" s="81">
        <v>1.0</v>
      </c>
      <c r="C78" s="82">
        <v>31.0</v>
      </c>
      <c r="D78" s="82">
        <v>28.0</v>
      </c>
      <c r="E78" s="83">
        <v>9.0</v>
      </c>
      <c r="F78" s="84">
        <v>9617.0</v>
      </c>
      <c r="G78" s="82">
        <v>919.0</v>
      </c>
      <c r="H78" s="85">
        <v>2202.0</v>
      </c>
      <c r="I78" s="85">
        <v>1437.0</v>
      </c>
      <c r="J78" s="85">
        <v>3000.0</v>
      </c>
      <c r="K78" s="82">
        <v>970.0</v>
      </c>
      <c r="L78" s="82">
        <v>594.0</v>
      </c>
      <c r="M78" s="82">
        <v>495.0</v>
      </c>
      <c r="N78" s="85">
        <f t="shared" si="2"/>
        <v>9617</v>
      </c>
      <c r="O78" s="85">
        <v>283.0</v>
      </c>
      <c r="P78" s="86">
        <v>0.0286</v>
      </c>
    </row>
    <row r="79" ht="15.75" customHeight="1">
      <c r="A79" s="71">
        <v>8.0</v>
      </c>
      <c r="B79" s="81">
        <v>1.0</v>
      </c>
      <c r="C79" s="82">
        <v>28.0</v>
      </c>
      <c r="D79" s="82">
        <v>16.0</v>
      </c>
      <c r="E79" s="83">
        <v>8.0</v>
      </c>
      <c r="F79" s="84">
        <v>9898.0</v>
      </c>
      <c r="G79" s="85">
        <v>1008.0</v>
      </c>
      <c r="H79" s="85">
        <v>1989.0</v>
      </c>
      <c r="I79" s="85">
        <v>1749.0</v>
      </c>
      <c r="J79" s="85">
        <v>3000.0</v>
      </c>
      <c r="K79" s="85">
        <v>1063.0</v>
      </c>
      <c r="L79" s="82">
        <v>594.0</v>
      </c>
      <c r="M79" s="82">
        <v>495.0</v>
      </c>
      <c r="N79" s="85">
        <f t="shared" si="2"/>
        <v>9898</v>
      </c>
      <c r="O79" s="85">
        <v>2.0</v>
      </c>
      <c r="P79" s="86">
        <v>2.0E-4</v>
      </c>
    </row>
    <row r="80" ht="15.75" customHeight="1">
      <c r="A80" s="71">
        <v>9.0</v>
      </c>
      <c r="B80" s="81">
        <v>1.0</v>
      </c>
      <c r="C80" s="82">
        <v>29.0</v>
      </c>
      <c r="D80" s="82">
        <v>23.0</v>
      </c>
      <c r="E80" s="83">
        <v>8.0</v>
      </c>
      <c r="F80" s="84">
        <v>9720.0</v>
      </c>
      <c r="G80" s="85">
        <v>1012.0</v>
      </c>
      <c r="H80" s="85">
        <v>2060.0</v>
      </c>
      <c r="I80" s="85">
        <v>1491.0</v>
      </c>
      <c r="J80" s="85">
        <v>3000.0</v>
      </c>
      <c r="K80" s="85">
        <v>1068.0</v>
      </c>
      <c r="L80" s="82">
        <v>594.0</v>
      </c>
      <c r="M80" s="82">
        <v>495.0</v>
      </c>
      <c r="N80" s="85">
        <f t="shared" si="2"/>
        <v>9720</v>
      </c>
      <c r="O80" s="85">
        <v>180.0</v>
      </c>
      <c r="P80" s="86">
        <v>0.0182</v>
      </c>
    </row>
    <row r="81" ht="15.75" customHeight="1">
      <c r="A81" s="71">
        <v>9.0</v>
      </c>
      <c r="B81" s="81">
        <v>1.0</v>
      </c>
      <c r="C81" s="82">
        <v>28.0</v>
      </c>
      <c r="D81" s="82">
        <v>6.0</v>
      </c>
      <c r="E81" s="83">
        <v>7.0</v>
      </c>
      <c r="F81" s="84">
        <v>9455.0</v>
      </c>
      <c r="G81" s="82">
        <v>967.0</v>
      </c>
      <c r="H81" s="85">
        <v>1989.0</v>
      </c>
      <c r="I81" s="85">
        <v>1390.0</v>
      </c>
      <c r="J81" s="85">
        <v>3000.0</v>
      </c>
      <c r="K81" s="85">
        <v>1020.0</v>
      </c>
      <c r="L81" s="82">
        <v>594.0</v>
      </c>
      <c r="M81" s="82">
        <v>495.0</v>
      </c>
      <c r="N81" s="85">
        <f t="shared" si="2"/>
        <v>9455</v>
      </c>
      <c r="O81" s="85">
        <v>445.0</v>
      </c>
      <c r="P81" s="86">
        <v>0.0449</v>
      </c>
    </row>
    <row r="82" ht="15.75" customHeight="1">
      <c r="A82" s="71">
        <v>9.0</v>
      </c>
      <c r="B82" s="81">
        <v>2.0</v>
      </c>
      <c r="C82" s="82">
        <v>59.0</v>
      </c>
      <c r="D82" s="82">
        <v>39.0</v>
      </c>
      <c r="E82" s="83">
        <v>17.0</v>
      </c>
      <c r="F82" s="84">
        <v>10606.0</v>
      </c>
      <c r="G82" s="85">
        <v>1028.0</v>
      </c>
      <c r="H82" s="85">
        <v>3125.0</v>
      </c>
      <c r="I82" s="85">
        <v>1690.0</v>
      </c>
      <c r="J82" s="85">
        <v>1500.0</v>
      </c>
      <c r="K82" s="85">
        <v>1085.0</v>
      </c>
      <c r="L82" s="85">
        <v>1188.0</v>
      </c>
      <c r="M82" s="82">
        <v>990.0</v>
      </c>
      <c r="N82" s="85">
        <f t="shared" si="2"/>
        <v>10606</v>
      </c>
      <c r="O82" s="85">
        <v>9194.0</v>
      </c>
      <c r="P82" s="87">
        <v>0.4643</v>
      </c>
    </row>
    <row r="83" ht="15.75" customHeight="1">
      <c r="A83" s="71">
        <v>10.0</v>
      </c>
      <c r="B83" s="81">
        <v>2.0</v>
      </c>
      <c r="C83" s="82">
        <v>63.0</v>
      </c>
      <c r="D83" s="82">
        <v>54.0</v>
      </c>
      <c r="E83" s="83">
        <v>16.0</v>
      </c>
      <c r="F83" s="84">
        <v>10863.0</v>
      </c>
      <c r="G83" s="82">
        <v>977.0</v>
      </c>
      <c r="H83" s="85">
        <v>3125.0</v>
      </c>
      <c r="I83" s="85">
        <v>2053.0</v>
      </c>
      <c r="J83" s="85">
        <v>1500.0</v>
      </c>
      <c r="K83" s="85">
        <v>1030.0</v>
      </c>
      <c r="L83" s="85">
        <v>1188.0</v>
      </c>
      <c r="M83" s="82">
        <v>990.0</v>
      </c>
      <c r="N83" s="85">
        <f t="shared" si="2"/>
        <v>10863</v>
      </c>
      <c r="O83" s="85">
        <v>8937.0</v>
      </c>
      <c r="P83" s="87">
        <v>0.4514</v>
      </c>
    </row>
    <row r="84" ht="15.75" customHeight="1">
      <c r="A84" s="71">
        <v>10.0</v>
      </c>
      <c r="B84" s="81">
        <v>1.0</v>
      </c>
      <c r="C84" s="82">
        <v>33.0</v>
      </c>
      <c r="D84" s="82">
        <v>6.0</v>
      </c>
      <c r="E84" s="83">
        <v>8.0</v>
      </c>
      <c r="F84" s="84">
        <v>9553.0</v>
      </c>
      <c r="G84" s="82">
        <v>979.0</v>
      </c>
      <c r="H84" s="85">
        <v>2344.0</v>
      </c>
      <c r="I84" s="85">
        <v>1108.0</v>
      </c>
      <c r="J84" s="85">
        <v>3000.0</v>
      </c>
      <c r="K84" s="85">
        <v>1033.0</v>
      </c>
      <c r="L84" s="82">
        <v>594.0</v>
      </c>
      <c r="M84" s="82">
        <v>495.0</v>
      </c>
      <c r="N84" s="85">
        <f t="shared" si="2"/>
        <v>9553</v>
      </c>
      <c r="O84" s="85">
        <v>347.0</v>
      </c>
      <c r="P84" s="86">
        <v>0.0351</v>
      </c>
    </row>
    <row r="85" ht="15.75" customHeight="1">
      <c r="A85" s="71">
        <v>11.0</v>
      </c>
      <c r="B85" s="81">
        <v>1.0</v>
      </c>
      <c r="C85" s="82">
        <v>29.0</v>
      </c>
      <c r="D85" s="82">
        <v>28.0</v>
      </c>
      <c r="E85" s="83">
        <v>8.0</v>
      </c>
      <c r="F85" s="84">
        <v>9928.0</v>
      </c>
      <c r="G85" s="85">
        <v>1082.0</v>
      </c>
      <c r="H85" s="85">
        <v>2060.0</v>
      </c>
      <c r="I85" s="85">
        <v>1556.0</v>
      </c>
      <c r="J85" s="85">
        <v>3000.0</v>
      </c>
      <c r="K85" s="85">
        <v>1141.0</v>
      </c>
      <c r="L85" s="82">
        <v>594.0</v>
      </c>
      <c r="M85" s="82">
        <v>495.0</v>
      </c>
      <c r="N85" s="85">
        <f t="shared" si="2"/>
        <v>9928</v>
      </c>
      <c r="O85" s="85">
        <v>-28.0</v>
      </c>
      <c r="P85" s="86">
        <v>-0.0028</v>
      </c>
    </row>
    <row r="86" ht="15.75" customHeight="1">
      <c r="A86" s="71">
        <v>11.0</v>
      </c>
      <c r="B86" s="81">
        <v>1.0</v>
      </c>
      <c r="C86" s="82">
        <v>28.0</v>
      </c>
      <c r="D86" s="82">
        <v>23.0</v>
      </c>
      <c r="E86" s="83">
        <v>8.0</v>
      </c>
      <c r="F86" s="84">
        <v>10756.0</v>
      </c>
      <c r="G86" s="85">
        <v>1085.0</v>
      </c>
      <c r="H86" s="85">
        <v>1989.0</v>
      </c>
      <c r="I86" s="85">
        <v>2448.0</v>
      </c>
      <c r="J86" s="85">
        <v>3000.0</v>
      </c>
      <c r="K86" s="85">
        <v>1145.0</v>
      </c>
      <c r="L86" s="82">
        <v>594.0</v>
      </c>
      <c r="M86" s="82">
        <v>495.0</v>
      </c>
      <c r="N86" s="85">
        <f t="shared" si="2"/>
        <v>10756</v>
      </c>
      <c r="O86" s="85">
        <v>-856.0</v>
      </c>
      <c r="P86" s="86">
        <v>-0.0865</v>
      </c>
    </row>
    <row r="87" ht="15.75" customHeight="1">
      <c r="A87" s="71">
        <v>11.0</v>
      </c>
      <c r="B87" s="81">
        <v>1.0</v>
      </c>
      <c r="C87" s="82">
        <v>31.0</v>
      </c>
      <c r="D87" s="82">
        <v>28.0</v>
      </c>
      <c r="E87" s="83">
        <v>8.0</v>
      </c>
      <c r="F87" s="84">
        <v>9816.0</v>
      </c>
      <c r="G87" s="82">
        <v>972.0</v>
      </c>
      <c r="H87" s="85">
        <v>2202.0</v>
      </c>
      <c r="I87" s="85">
        <v>1528.0</v>
      </c>
      <c r="J87" s="85">
        <v>3000.0</v>
      </c>
      <c r="K87" s="85">
        <v>1025.0</v>
      </c>
      <c r="L87" s="82">
        <v>594.0</v>
      </c>
      <c r="M87" s="82">
        <v>495.0</v>
      </c>
      <c r="N87" s="85">
        <f t="shared" si="2"/>
        <v>9816</v>
      </c>
      <c r="O87" s="85">
        <v>84.0</v>
      </c>
      <c r="P87" s="86">
        <v>0.0085</v>
      </c>
    </row>
    <row r="88" ht="15.75" customHeight="1">
      <c r="A88" s="71">
        <v>11.0</v>
      </c>
      <c r="B88" s="81">
        <v>1.0</v>
      </c>
      <c r="C88" s="82">
        <v>28.0</v>
      </c>
      <c r="D88" s="82">
        <v>25.0</v>
      </c>
      <c r="E88" s="83">
        <v>9.0</v>
      </c>
      <c r="F88" s="84">
        <v>9129.0</v>
      </c>
      <c r="G88" s="82">
        <v>884.0</v>
      </c>
      <c r="H88" s="85">
        <v>1989.0</v>
      </c>
      <c r="I88" s="85">
        <v>1235.0</v>
      </c>
      <c r="J88" s="85">
        <v>3000.0</v>
      </c>
      <c r="K88" s="82">
        <v>932.0</v>
      </c>
      <c r="L88" s="82">
        <v>594.0</v>
      </c>
      <c r="M88" s="82">
        <v>495.0</v>
      </c>
      <c r="N88" s="85">
        <f t="shared" si="2"/>
        <v>9129</v>
      </c>
      <c r="O88" s="85">
        <v>771.0</v>
      </c>
      <c r="P88" s="86">
        <v>0.0779</v>
      </c>
    </row>
    <row r="89" ht="15.75" customHeight="1">
      <c r="A89" s="71">
        <v>12.0</v>
      </c>
      <c r="B89" s="81">
        <v>1.0</v>
      </c>
      <c r="C89" s="82">
        <v>33.0</v>
      </c>
      <c r="D89" s="82">
        <v>9.0</v>
      </c>
      <c r="E89" s="83">
        <v>8.0</v>
      </c>
      <c r="F89" s="84">
        <v>9511.0</v>
      </c>
      <c r="G89" s="82">
        <v>970.0</v>
      </c>
      <c r="H89" s="85">
        <v>2344.0</v>
      </c>
      <c r="I89" s="85">
        <v>1085.0</v>
      </c>
      <c r="J89" s="85">
        <v>3000.0</v>
      </c>
      <c r="K89" s="85">
        <v>1023.0</v>
      </c>
      <c r="L89" s="82">
        <v>594.0</v>
      </c>
      <c r="M89" s="82">
        <v>495.0</v>
      </c>
      <c r="N89" s="85">
        <f t="shared" si="2"/>
        <v>9511</v>
      </c>
      <c r="O89" s="85">
        <v>389.0</v>
      </c>
      <c r="P89" s="86">
        <v>0.0393</v>
      </c>
    </row>
    <row r="90" ht="15.75" customHeight="1">
      <c r="A90" s="71">
        <v>12.0</v>
      </c>
      <c r="B90" s="81">
        <v>1.0</v>
      </c>
      <c r="C90" s="82">
        <v>32.0</v>
      </c>
      <c r="D90" s="82">
        <v>16.0</v>
      </c>
      <c r="E90" s="83">
        <v>8.0</v>
      </c>
      <c r="F90" s="84">
        <v>9510.0</v>
      </c>
      <c r="G90" s="82">
        <v>918.0</v>
      </c>
      <c r="H90" s="85">
        <v>2273.0</v>
      </c>
      <c r="I90" s="85">
        <v>1262.0</v>
      </c>
      <c r="J90" s="85">
        <v>3000.0</v>
      </c>
      <c r="K90" s="82">
        <v>968.0</v>
      </c>
      <c r="L90" s="82">
        <v>594.0</v>
      </c>
      <c r="M90" s="82">
        <v>495.0</v>
      </c>
      <c r="N90" s="85">
        <f t="shared" si="2"/>
        <v>9510</v>
      </c>
      <c r="O90" s="85">
        <v>390.0</v>
      </c>
      <c r="P90" s="86">
        <v>0.0394</v>
      </c>
    </row>
    <row r="91" ht="15.75" customHeight="1">
      <c r="A91" s="88">
        <v>12.0</v>
      </c>
      <c r="B91" s="81">
        <v>1.0</v>
      </c>
      <c r="C91" s="82">
        <v>32.0</v>
      </c>
      <c r="D91" s="82">
        <v>17.0</v>
      </c>
      <c r="E91" s="83">
        <v>7.0</v>
      </c>
      <c r="F91" s="84">
        <v>10844.0</v>
      </c>
      <c r="G91" s="85">
        <v>1016.0</v>
      </c>
      <c r="H91" s="85">
        <v>2273.0</v>
      </c>
      <c r="I91" s="85">
        <v>2394.0</v>
      </c>
      <c r="J91" s="85">
        <v>3000.0</v>
      </c>
      <c r="K91" s="85">
        <v>1072.0</v>
      </c>
      <c r="L91" s="82">
        <v>594.0</v>
      </c>
      <c r="M91" s="82">
        <v>495.0</v>
      </c>
      <c r="N91" s="85">
        <f t="shared" si="2"/>
        <v>10844</v>
      </c>
      <c r="O91" s="85">
        <v>-944.0</v>
      </c>
      <c r="P91" s="86">
        <v>-0.0954</v>
      </c>
    </row>
    <row r="92" ht="15.75" customHeight="1">
      <c r="A92" s="88">
        <v>12.0</v>
      </c>
      <c r="B92" s="81">
        <v>1.0</v>
      </c>
      <c r="C92" s="82">
        <v>32.0</v>
      </c>
      <c r="D92" s="82">
        <v>7.0</v>
      </c>
      <c r="E92" s="83">
        <v>8.0</v>
      </c>
      <c r="F92" s="84">
        <v>9982.0</v>
      </c>
      <c r="G92" s="85">
        <v>1035.0</v>
      </c>
      <c r="H92" s="85">
        <v>2273.0</v>
      </c>
      <c r="I92" s="85">
        <v>1493.0</v>
      </c>
      <c r="J92" s="85">
        <v>3000.0</v>
      </c>
      <c r="K92" s="85">
        <v>1092.0</v>
      </c>
      <c r="L92" s="82">
        <v>594.0</v>
      </c>
      <c r="M92" s="82">
        <v>495.0</v>
      </c>
      <c r="N92" s="85">
        <f t="shared" si="2"/>
        <v>9982</v>
      </c>
      <c r="O92" s="85">
        <v>-82.0</v>
      </c>
      <c r="P92" s="86">
        <v>-0.0083</v>
      </c>
    </row>
    <row r="93" ht="15.75" customHeight="1"/>
    <row r="94" ht="15.75" customHeight="1"/>
    <row r="95" ht="15.75" customHeight="1"/>
    <row r="96" ht="15.75" customHeight="1">
      <c r="D96" s="35">
        <f t="shared" ref="D96:D121" si="3">SUM(C67:D67)</f>
        <v>41</v>
      </c>
    </row>
    <row r="97" ht="15.75" customHeight="1">
      <c r="D97" s="35">
        <f t="shared" si="3"/>
        <v>103</v>
      </c>
    </row>
    <row r="98" ht="15.75" customHeight="1">
      <c r="D98" s="35">
        <f t="shared" si="3"/>
        <v>43</v>
      </c>
    </row>
    <row r="99" ht="15.75" customHeight="1">
      <c r="D99" s="35">
        <f t="shared" si="3"/>
        <v>100</v>
      </c>
    </row>
    <row r="100" ht="15.75" customHeight="1">
      <c r="D100" s="35">
        <f t="shared" si="3"/>
        <v>59</v>
      </c>
    </row>
    <row r="101" ht="15.75" customHeight="1">
      <c r="D101" s="35">
        <f t="shared" si="3"/>
        <v>54</v>
      </c>
    </row>
    <row r="102" ht="15.75" customHeight="1">
      <c r="D102" s="35">
        <f t="shared" si="3"/>
        <v>39</v>
      </c>
    </row>
    <row r="103" ht="15.75" customHeight="1">
      <c r="D103" s="35">
        <f t="shared" si="3"/>
        <v>60</v>
      </c>
    </row>
    <row r="104" ht="15.75" customHeight="1">
      <c r="D104" s="35">
        <f t="shared" si="3"/>
        <v>86</v>
      </c>
    </row>
    <row r="105" ht="15.75" customHeight="1">
      <c r="D105" s="35">
        <f t="shared" si="3"/>
        <v>46</v>
      </c>
    </row>
    <row r="106" ht="15.75" customHeight="1">
      <c r="D106" s="35">
        <f t="shared" si="3"/>
        <v>57</v>
      </c>
    </row>
    <row r="107" ht="15.75" customHeight="1">
      <c r="D107" s="35">
        <f t="shared" si="3"/>
        <v>59</v>
      </c>
    </row>
    <row r="108" ht="15.75" customHeight="1">
      <c r="D108" s="35">
        <f t="shared" si="3"/>
        <v>44</v>
      </c>
    </row>
    <row r="109" ht="15.75" customHeight="1">
      <c r="D109" s="35">
        <f t="shared" si="3"/>
        <v>52</v>
      </c>
    </row>
    <row r="110" ht="15.75" customHeight="1">
      <c r="D110" s="35">
        <f t="shared" si="3"/>
        <v>34</v>
      </c>
    </row>
    <row r="111" ht="15.75" customHeight="1">
      <c r="D111" s="35">
        <f t="shared" si="3"/>
        <v>98</v>
      </c>
    </row>
    <row r="112" ht="15.75" customHeight="1">
      <c r="D112" s="35">
        <f t="shared" si="3"/>
        <v>117</v>
      </c>
    </row>
    <row r="113" ht="15.75" customHeight="1">
      <c r="D113" s="35">
        <f t="shared" si="3"/>
        <v>39</v>
      </c>
    </row>
    <row r="114" ht="15.75" customHeight="1">
      <c r="D114" s="35">
        <f t="shared" si="3"/>
        <v>57</v>
      </c>
    </row>
    <row r="115" ht="15.75" customHeight="1">
      <c r="D115" s="35">
        <f t="shared" si="3"/>
        <v>51</v>
      </c>
    </row>
    <row r="116" ht="15.75" customHeight="1">
      <c r="D116" s="35">
        <f t="shared" si="3"/>
        <v>59</v>
      </c>
    </row>
    <row r="117" ht="15.75" customHeight="1">
      <c r="D117" s="35">
        <f t="shared" si="3"/>
        <v>53</v>
      </c>
    </row>
    <row r="118" ht="15.75" customHeight="1">
      <c r="D118" s="35">
        <f t="shared" si="3"/>
        <v>42</v>
      </c>
    </row>
    <row r="119" ht="15.75" customHeight="1">
      <c r="D119" s="35">
        <f t="shared" si="3"/>
        <v>48</v>
      </c>
    </row>
    <row r="120" ht="15.75" customHeight="1">
      <c r="D120" s="35">
        <f t="shared" si="3"/>
        <v>49</v>
      </c>
    </row>
    <row r="121" ht="15.75" customHeight="1">
      <c r="D121" s="35">
        <f t="shared" si="3"/>
        <v>39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2026-05-20T02:47:10Z</dcterms:created>
  <dc:creator>openpyxl</dc:creator>
</cp:coreProperties>
</file>